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o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<sst xmlns="http://schemas.openxmlformats.org/spreadsheetml/2006/main" count="47" uniqueCount="38">
  <si>
    <t xml:space="preserve">Tool Catalog</t>
  </si>
  <si>
    <t xml:space="preserve">Track every tool as you build it. The Description column is what the model reads to decide when to call the tool - write it like an instruction. Update Status as you go.</t>
  </si>
  <si>
    <t xml:space="preserve">#</t>
  </si>
  <si>
    <t xml:space="preserve">Tool name</t>
  </si>
  <si>
    <t xml:space="preserve">Description (model-facing)</t>
  </si>
  <si>
    <t xml:space="preserve">Inputs (name: type)</t>
  </si>
  <si>
    <t xml:space="preserve">Returns (type)</t>
  </si>
  <si>
    <t xml:space="preserve">Data source</t>
  </si>
  <si>
    <t xml:space="preserve">Owner</t>
  </si>
  <si>
    <t xml:space="preserve">Status</t>
  </si>
  <si>
    <t xml:space="preserve">Last tested</t>
  </si>
  <si>
    <t xml:space="preserve">Notes</t>
  </si>
  <si>
    <t xml:space="preserve">Status summary</t>
  </si>
  <si>
    <t xml:space="preserve">get_booking</t>
  </si>
  <si>
    <t xml:space="preserve">Look up a booking by its PNR. Use when the user references a confirmation code.</t>
  </si>
  <si>
    <t xml:space="preserve">pnr: str</t>
  </si>
  <si>
    <t xml:space="preserve">str (summary)</t>
  </si>
  <si>
    <t xml:space="preserve">mock dict</t>
  </si>
  <si>
    <t xml:space="preserve">you</t>
  </si>
  <si>
    <t xml:space="preserve">Working</t>
  </si>
  <si>
    <t xml:space="preserve">Tested</t>
  </si>
  <si>
    <t xml:space="preserve">check_disruption</t>
  </si>
  <si>
    <t xml:space="preserve">Check if a given flight is delayed or cancelled.</t>
  </si>
  <si>
    <t xml:space="preserve">flight_no: str</t>
  </si>
  <si>
    <t xml:space="preserve">str (status)</t>
  </si>
  <si>
    <t xml:space="preserve">find_alternatives</t>
  </si>
  <si>
    <t xml:space="preserve">Find alternative flights for a route and date.</t>
  </si>
  <si>
    <t xml:space="preserve">route: str, date: str</t>
  </si>
  <si>
    <t xml:space="preserve">list[str]</t>
  </si>
  <si>
    <t xml:space="preserve">Building</t>
  </si>
  <si>
    <t xml:space="preserve">notify_traveler</t>
  </si>
  <si>
    <t xml:space="preserve">Send the traveler a message. Only call after confirmation.</t>
  </si>
  <si>
    <t xml:space="preserve">pnr: str, message: str</t>
  </si>
  <si>
    <t xml:space="preserve">str (ack)</t>
  </si>
  <si>
    <t xml:space="preserve">stub</t>
  </si>
  <si>
    <t xml:space="preserve">Idea</t>
  </si>
  <si>
    <t xml:space="preserve">Deprecated</t>
  </si>
  <si>
    <t xml:space="preserve">Total defined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</si>
</sst>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9"/>
      <color rgb="FF0F172A"/>
      <name val="Arial"/>
      <family val="0"/>
      <charset val="1"/>
    </font>
    <font>
      <sz val="10"/>
      <color rgb="FF0F172A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10"/>
      <color rgb="FF0F172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color rgb="FF1E40AF"/>
      </font>
      <fill>
        <patternFill>
          <bgColor rgb="FFDBEAFE"/>
        </patternFill>
      </fill>
    </dxf>
    <dxf>
      <font>
        <name val="Arial"/>
        <charset val="1"/>
        <family val="0"/>
        <color rgb="FF92400E"/>
      </font>
      <fill>
        <patternFill>
          <bgColor rgb="FFFDE9CE"/>
        </patternFill>
      </fill>
    </dxf>
    <dxf>
      <font>
        <name val="Arial"/>
        <charset val="1"/>
        <family val="0"/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DE9CE"/>
      <rgbColor rgb="FFDCFCE7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2400E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26"/>
    <col collapsed="false" customWidth="true" hidden="false" outlineLevel="0" max="12" min="12" style="0" width="14"/>
    <col collapsed="false" customWidth="true" hidden="false" outlineLevel="0" max="13" min="13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L3" s="4" t="s">
        <v>12</v>
      </c>
    </row>
    <row r="4" customFormat="false" ht="22.35" hidden="false" customHeight="false" outlineLevel="0" collapsed="false">
      <c r="A4" s="5" t="n">
        <v>1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/>
      <c r="J4" s="6"/>
      <c r="L4" s="7" t="s">
        <v>20</v>
      </c>
      <c r="M4" s="7" t="n">
        <f aca="false">COUNTIF($H$4:$H$23,"Tested")</f>
        <v>1</v>
      </c>
    </row>
    <row r="5" customFormat="false" ht="15" hidden="false" customHeight="false" outlineLevel="0" collapsed="false">
      <c r="A5" s="5" t="n">
        <v>2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17</v>
      </c>
      <c r="G5" s="6" t="s">
        <v>18</v>
      </c>
      <c r="H5" s="6" t="s">
        <v>20</v>
      </c>
      <c r="I5" s="6"/>
      <c r="J5" s="6"/>
      <c r="L5" s="7" t="s">
        <v>19</v>
      </c>
      <c r="M5" s="7" t="n">
        <f aca="false">COUNTIF($H$4:$H$23,"Working")</f>
        <v>1</v>
      </c>
    </row>
    <row r="6" customFormat="false" ht="15" hidden="false" customHeight="false" outlineLevel="0" collapsed="false">
      <c r="A6" s="5" t="n">
        <v>3</v>
      </c>
      <c r="B6" s="6" t="s">
        <v>25</v>
      </c>
      <c r="C6" s="6" t="s">
        <v>26</v>
      </c>
      <c r="D6" s="6" t="s">
        <v>27</v>
      </c>
      <c r="E6" s="6" t="s">
        <v>28</v>
      </c>
      <c r="F6" s="6" t="s">
        <v>17</v>
      </c>
      <c r="G6" s="6" t="s">
        <v>18</v>
      </c>
      <c r="H6" s="6" t="s">
        <v>29</v>
      </c>
      <c r="I6" s="6"/>
      <c r="J6" s="6"/>
      <c r="L6" s="7" t="s">
        <v>29</v>
      </c>
      <c r="M6" s="7" t="n">
        <f aca="false">COUNTIF($H$4:$H$23,"Building")</f>
        <v>1</v>
      </c>
    </row>
    <row r="7" customFormat="false" ht="22.35" hidden="false" customHeight="false" outlineLevel="0" collapsed="false">
      <c r="A7" s="5" t="n">
        <v>4</v>
      </c>
      <c r="B7" s="6" t="s">
        <v>30</v>
      </c>
      <c r="C7" s="6" t="s">
        <v>31</v>
      </c>
      <c r="D7" s="6" t="s">
        <v>32</v>
      </c>
      <c r="E7" s="6" t="s">
        <v>33</v>
      </c>
      <c r="F7" s="6" t="s">
        <v>34</v>
      </c>
      <c r="G7" s="6" t="s">
        <v>18</v>
      </c>
      <c r="H7" s="6" t="s">
        <v>35</v>
      </c>
      <c r="I7" s="6"/>
      <c r="J7" s="6"/>
      <c r="L7" s="7" t="s">
        <v>35</v>
      </c>
      <c r="M7" s="7" t="n">
        <f aca="false">COUNTIF($H$4:$H$23,"Idea")</f>
        <v>1</v>
      </c>
    </row>
    <row r="8" customFormat="false" ht="15" hidden="false" customHeight="false" outlineLevel="0" collapsed="false">
      <c r="A8" s="8" t="n">
        <v>5</v>
      </c>
      <c r="B8" s="9"/>
      <c r="C8" s="9"/>
      <c r="D8" s="9"/>
      <c r="E8" s="9"/>
      <c r="F8" s="9"/>
      <c r="G8" s="9"/>
      <c r="H8" s="9"/>
      <c r="I8" s="9"/>
      <c r="J8" s="9"/>
      <c r="L8" s="7" t="s">
        <v>36</v>
      </c>
      <c r="M8" s="7" t="n">
        <f aca="false">COUNTIF($H$4:$H$23,"Deprecated")</f>
        <v>0</v>
      </c>
    </row>
    <row r="9" customFormat="false" ht="15" hidden="false" customHeight="fals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  <c r="L9" s="10" t="s">
        <v>37</v>
      </c>
      <c r="M9" s="10" t="n">
        <f aca="false">COUNTA($B$4:$B$23)</f>
        <v>4</v>
      </c>
    </row>
    <row r="10" customFormat="false" ht="15" hidden="false" customHeight="false" outlineLevel="0" collapsed="false">
      <c r="A10" s="8" t="n">
        <v>7</v>
      </c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5" hidden="false" customHeight="fals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5" hidden="false" customHeight="false" outlineLevel="0" collapsed="false">
      <c r="A12" s="8" t="n">
        <v>9</v>
      </c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5" hidden="false" customHeight="fals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</row>
    <row r="14" customFormat="false" ht="15" hidden="false" customHeight="false" outlineLevel="0" collapsed="false">
      <c r="A14" s="8" t="n">
        <v>11</v>
      </c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5" hidden="false" customHeight="fals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</row>
    <row r="16" customFormat="false" ht="15" hidden="false" customHeight="false" outlineLevel="0" collapsed="false">
      <c r="A16" s="8" t="n">
        <v>13</v>
      </c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5" hidden="false" customHeight="fals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</row>
    <row r="18" customFormat="false" ht="15" hidden="false" customHeight="false" outlineLevel="0" collapsed="false">
      <c r="A18" s="8" t="n">
        <v>15</v>
      </c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5" hidden="false" customHeight="fals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</row>
    <row r="20" customFormat="false" ht="15" hidden="false" customHeight="false" outlineLevel="0" collapsed="false">
      <c r="A20" s="8" t="n">
        <v>17</v>
      </c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5" hidden="false" customHeight="fals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</row>
    <row r="22" customFormat="false" ht="15" hidden="false" customHeight="false" outlineLevel="0" collapsed="false">
      <c r="A22" s="8" t="n">
        <v>19</v>
      </c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5" hidden="false" customHeight="fals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</row>
  </sheetData>
  <mergeCells count="2">
    <mergeCell ref="A1:J1"/>
    <mergeCell ref="A2:J2"/>
  </mergeCells>
  <conditionalFormatting sqref="H4:H23">
    <cfRule type="cellIs" priority="2" operator="equal" aboveAverage="0" equalAverage="0" bottom="0" percent="0" rank="0" text="" dxfId="0">
      <formula>"Tested"</formula>
    </cfRule>
    <cfRule type="cellIs" priority="3" operator="equal" aboveAverage="0" equalAverage="0" bottom="0" percent="0" rank="0" text="" dxfId="1">
      <formula>"Working"</formula>
    </cfRule>
    <cfRule type="cellIs" priority="4" operator="equal" aboveAverage="0" equalAverage="0" bottom="0" percent="0" rank="0" text="" dxfId="2">
      <formula>"Building"</formula>
    </cfRule>
    <cfRule type="cellIs" priority="5" operator="equal" aboveAverage="0" equalAverage="0" bottom="0" percent="0" rank="0" text="" dxfId="3">
      <formula>"Deprecated"</formula>
    </cfRule>
  </conditionalFormatting>
  <dataValidations count="1">
    <dataValidation allowBlank="true" errorStyle="stop" operator="between" showDropDown="false" showErrorMessage="false" showInputMessage="false" sqref="H4:H23" type="list">
      <formula1>"Idea,Building,Working,Tested,Deprecated"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2026-06-05T05:51:05Z</dcterms:created>
  <dc:creator>openpyxl</dc:creator>
  <dc:description/>
  <dc:language>en-US</dc:language>
  <cp:lastModifiedBy/>
  <dcterms:modified xsi:type="dcterms:W3CDTF">2026-06-05T05:51:05Z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