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Bedrock on-demand, standard region. Haiku 4.5 $1/$5 per 1M (in/out); Sonnet 4 $3/$15. Source: AWS Bedrock pricing + Anthropic, as of June 2026. Verify: https://aws.amazon.com/bedrock/pricing/</t>
        </r>
      </text>
    </comment>
  </commentList>
</comments>
</file>

<file path=xl/sharedStrings.xml><?xml version="1.0" encoding="utf-8"?>
<sst xmlns="http://schemas.openxmlformats.org/spreadsheetml/2006/main" count="26" uniqueCount="26">
  <si>
    <t xml:space="preserve">Bedrock Cost Estimator  ·  Haiku vs Sonnet</t>
  </si>
  <si>
    <t xml:space="preserve">Edit the blue cells. Yellow cells are prices to verify against current AWS pricing. All costs are estimates for planning, not a quote.</t>
  </si>
  <si>
    <t xml:space="preserve">Usage assumptions (edit these)</t>
  </si>
  <si>
    <t xml:space="preserve">Avg input tokens per model call</t>
  </si>
  <si>
    <t xml:space="preserve">Avg output tokens per model call</t>
  </si>
  <si>
    <t xml:space="preserve">Model calls per task (loop cycles)</t>
  </si>
  <si>
    <t xml:space="preserve">Tasks per day</t>
  </si>
  <si>
    <t xml:space="preserve">Working days per month</t>
  </si>
  <si>
    <t xml:space="preserve">Model comparison</t>
  </si>
  <si>
    <t xml:space="preserve">Metric</t>
  </si>
  <si>
    <t xml:space="preserve">Claude Haiku 4.5</t>
  </si>
  <si>
    <t xml:space="preserve">Claude Sonnet 4</t>
  </si>
  <si>
    <t xml:space="preserve">Price per 1M input tokens ($)</t>
  </si>
  <si>
    <t xml:space="preserve">Price per 1M output tokens ($)</t>
  </si>
  <si>
    <t xml:space="preserve">Input tokens per task</t>
  </si>
  <si>
    <t xml:space="preserve">Output tokens per task</t>
  </si>
  <si>
    <t xml:space="preserve">Cost per task ($)</t>
  </si>
  <si>
    <t xml:space="preserve">Cost per day ($)</t>
  </si>
  <si>
    <t xml:space="preserve">Cost per month ($)</t>
  </si>
  <si>
    <t xml:space="preserve">Cost per 1,000 tasks ($)</t>
  </si>
  <si>
    <t xml:space="preserve">Monthly saving: Haiku vs Sonnet ($)</t>
  </si>
  <si>
    <t xml:space="preserve">Notes:</t>
  </si>
  <si>
    <t xml:space="preserve">- Cross-region inference profiles (the us. / global. prefix) add roughly 10% to on-demand rates.</t>
  </si>
  <si>
    <t xml:space="preserve">- Batch inference is about 50% cheaper; prompt caching can cut repeated input cost up to ~90%.</t>
  </si>
  <si>
    <t xml:space="preserve">- 'Model calls per task' = how many times the agent loops (each tool round trip is another call). Multi-agent flows multiply this.</t>
  </si>
  <si>
    <t xml:space="preserve">- Set max_tokens and caps to stop runaway output cost.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</si>
</sst>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.00"/>
    <numFmt numFmtId="167" formatCode="\$#,##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sz val="10"/>
      <color rgb="FF0F172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9"/>
      <color rgb="FF475569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1F5F9"/>
        <bgColor rgb="FFFFFFFF"/>
      </patternFill>
    </fill>
    <fill>
      <patternFill patternType="solid">
        <fgColor rgb="FFFDE9CE"/>
        <bgColor rgb="FFFFF3CD"/>
      </patternFill>
    </fill>
    <fill>
      <patternFill patternType="solid">
        <fgColor rgb="FFFFF3CD"/>
        <bgColor rgb="FFFDE9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1F5F9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C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F172A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9.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n">
        <v>1500</v>
      </c>
    </row>
    <row r="6" customFormat="false" ht="15" hidden="false" customHeight="false" outlineLevel="0" collapsed="false">
      <c r="A6" s="4" t="s">
        <v>4</v>
      </c>
      <c r="B6" s="5" t="n">
        <v>600</v>
      </c>
    </row>
    <row r="7" customFormat="false" ht="15" hidden="false" customHeight="false" outlineLevel="0" collapsed="false">
      <c r="A7" s="4" t="s">
        <v>5</v>
      </c>
      <c r="B7" s="5" t="n">
        <v>3</v>
      </c>
    </row>
    <row r="8" customFormat="false" ht="15" hidden="false" customHeight="false" outlineLevel="0" collapsed="false">
      <c r="A8" s="4" t="s">
        <v>6</v>
      </c>
      <c r="B8" s="5" t="n">
        <v>500</v>
      </c>
    </row>
    <row r="9" customFormat="false" ht="15" hidden="false" customHeight="false" outlineLevel="0" collapsed="false">
      <c r="A9" s="4" t="s">
        <v>7</v>
      </c>
      <c r="B9" s="5" t="n">
        <v>22</v>
      </c>
    </row>
    <row r="11" customFormat="false" ht="19.5" hidden="false" customHeight="true" outlineLevel="0" collapsed="false">
      <c r="A11" s="3" t="s">
        <v>8</v>
      </c>
      <c r="B11" s="3"/>
      <c r="C11" s="3"/>
    </row>
    <row r="12" customFormat="false" ht="15" hidden="false" customHeight="false" outlineLevel="0" collapsed="false">
      <c r="A12" s="6" t="s">
        <v>9</v>
      </c>
      <c r="B12" s="7" t="s">
        <v>10</v>
      </c>
      <c r="C12" s="7" t="s">
        <v>11</v>
      </c>
    </row>
    <row r="13" customFormat="false" ht="15" hidden="false" customHeight="false" outlineLevel="0" collapsed="false">
      <c r="A13" s="8" t="s">
        <v>12</v>
      </c>
      <c r="B13" s="9" t="n">
        <v>1</v>
      </c>
      <c r="C13" s="9" t="n">
        <v>3</v>
      </c>
    </row>
    <row r="14" customFormat="false" ht="15" hidden="false" customHeight="false" outlineLevel="0" collapsed="false">
      <c r="A14" s="8" t="s">
        <v>13</v>
      </c>
      <c r="B14" s="9" t="n">
        <v>5</v>
      </c>
      <c r="C14" s="9" t="n">
        <v>15</v>
      </c>
    </row>
    <row r="15" customFormat="false" ht="15" hidden="false" customHeight="false" outlineLevel="0" collapsed="false">
      <c r="A15" s="8" t="s">
        <v>14</v>
      </c>
      <c r="B15" s="10" t="n">
        <f aca="false">$B$5*$B$7</f>
        <v>4500</v>
      </c>
      <c r="C15" s="10" t="n">
        <f aca="false">$B$5*$B$7</f>
        <v>4500</v>
      </c>
    </row>
    <row r="16" customFormat="false" ht="15" hidden="false" customHeight="false" outlineLevel="0" collapsed="false">
      <c r="A16" s="8" t="s">
        <v>15</v>
      </c>
      <c r="B16" s="10" t="n">
        <f aca="false">$B$6*$B$7</f>
        <v>1800</v>
      </c>
      <c r="C16" s="10" t="n">
        <f aca="false">$B$6*$B$7</f>
        <v>1800</v>
      </c>
    </row>
    <row r="17" customFormat="false" ht="15" hidden="false" customHeight="false" outlineLevel="0" collapsed="false">
      <c r="A17" s="8" t="s">
        <v>16</v>
      </c>
      <c r="B17" s="11" t="n">
        <f aca="false">B15/1000000*B13+B16/1000000*B14</f>
        <v>0.0135</v>
      </c>
      <c r="C17" s="11" t="n">
        <f aca="false">C15/1000000*C13+C16/1000000*C14</f>
        <v>0.0405</v>
      </c>
    </row>
    <row r="18" customFormat="false" ht="15" hidden="false" customHeight="false" outlineLevel="0" collapsed="false">
      <c r="A18" s="8" t="s">
        <v>17</v>
      </c>
      <c r="B18" s="12" t="n">
        <f aca="false">B17*$B$8</f>
        <v>6.75</v>
      </c>
      <c r="C18" s="12" t="n">
        <f aca="false">C17*$B$8</f>
        <v>20.25</v>
      </c>
    </row>
    <row r="19" customFormat="false" ht="15" hidden="false" customHeight="false" outlineLevel="0" collapsed="false">
      <c r="A19" s="8" t="s">
        <v>18</v>
      </c>
      <c r="B19" s="12" t="n">
        <f aca="false">B18*$B$9</f>
        <v>148.5</v>
      </c>
      <c r="C19" s="12" t="n">
        <f aca="false">C18*$B$9</f>
        <v>445.5</v>
      </c>
    </row>
    <row r="20" customFormat="false" ht="15" hidden="false" customHeight="false" outlineLevel="0" collapsed="false">
      <c r="A20" s="8" t="s">
        <v>19</v>
      </c>
      <c r="B20" s="12" t="n">
        <f aca="false">B17*1000</f>
        <v>13.5</v>
      </c>
      <c r="C20" s="12" t="n">
        <f aca="false">C17*1000</f>
        <v>40.5</v>
      </c>
    </row>
    <row r="22" customFormat="false" ht="15" hidden="false" customHeight="false" outlineLevel="0" collapsed="false">
      <c r="A22" s="13" t="s">
        <v>20</v>
      </c>
      <c r="B22" s="14" t="n">
        <f aca="false">C19-B19</f>
        <v>297</v>
      </c>
    </row>
    <row r="24" customFormat="false" ht="15" hidden="false" customHeight="true" outlineLevel="0" collapsed="false">
      <c r="A24" s="15" t="s">
        <v>21</v>
      </c>
      <c r="B24" s="15"/>
      <c r="C24" s="15"/>
    </row>
    <row r="25" customFormat="false" ht="22.35" hidden="false" customHeight="true" outlineLevel="0" collapsed="false">
      <c r="A25" s="16" t="s">
        <v>22</v>
      </c>
      <c r="B25" s="16"/>
      <c r="C25" s="16"/>
    </row>
    <row r="26" customFormat="false" ht="22.35" hidden="false" customHeight="true" outlineLevel="0" collapsed="false">
      <c r="A26" s="16" t="s">
        <v>23</v>
      </c>
      <c r="B26" s="16"/>
      <c r="C26" s="16"/>
    </row>
    <row r="27" customFormat="false" ht="22.35" hidden="false" customHeight="true" outlineLevel="0" collapsed="false">
      <c r="A27" s="16" t="s">
        <v>24</v>
      </c>
      <c r="B27" s="16"/>
      <c r="C27" s="16"/>
    </row>
    <row r="28" customFormat="false" ht="15" hidden="false" customHeight="true" outlineLevel="0" collapsed="false">
      <c r="A28" s="16" t="s">
        <v>25</v>
      </c>
      <c r="B28" s="16"/>
      <c r="C28" s="16"/>
    </row>
  </sheetData>
  <mergeCells count="9">
    <mergeCell ref="A1:C1"/>
    <mergeCell ref="A2:C2"/>
    <mergeCell ref="A4:C4"/>
    <mergeCell ref="A11:C11"/>
    <mergeCell ref="A24:C24"/>
    <mergeCell ref="A25:C25"/>
    <mergeCell ref="A26:C26"/>
    <mergeCell ref="A27:C27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2026-06-05T05:51:05Z</dcterms:created>
  <dc:creator>openpyxl</dc:creator>
  <dc:description/>
  <dc:language>en-US</dc:language>
  <cp:lastModifiedBy/>
  <dcterms:modified xsi:type="dcterms:W3CDTF">2026-06-05T05:51:05Z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