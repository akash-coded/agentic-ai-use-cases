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H1·1 Decider" sheetId="2" state="visible" r:id="rId4"/>
    <sheet name="H1·2 Cost" sheetId="3" state="visible" r:id="rId5"/>
    <sheet name="H1·3 Profile" sheetId="4" state="visible" r:id="rId6"/>
    <sheet name="H1·4 LLM-or-code" sheetId="5" state="visible" r:id="rId7"/>
    <sheet name="H2·1 Loop-Guard" sheetId="6" state="visible" r:id="rId8"/>
    <sheet name="H2·2 Good-Tool" sheetId="7" state="visible" r:id="rId9"/>
    <sheet name="H2·3 Failures" sheetId="8" state="visible" r:id="rId10"/>
    <sheet name="H2·4 Action-Safet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<sst xmlns="http://schemas.openxmlformats.org/spreadsheetml/2006/main" count="220" uniqueCount="170">
  <si>
    <t xml:space="preserve">Day 5 — Bedrock Build · Interactive Demos</t>
  </si>
  <si>
    <t xml:space="preserve">Pick any value from a yellow dropdown. Everything recalculates. No typing needed.</t>
  </si>
  <si>
    <t xml:space="preserve">#</t>
  </si>
  <si>
    <t xml:space="preserve">Demo (tab)</t>
  </si>
  <si>
    <t xml:space="preserve">What it lets you decide</t>
  </si>
  <si>
    <t xml:space="preserve">Maps to slide</t>
  </si>
  <si>
    <t xml:space="preserve">H1·1</t>
  </si>
  <si>
    <t xml:space="preserve">Workflow or Agent?</t>
  </si>
  <si>
    <t xml:space="preserve">Which pattern your feature should be</t>
  </si>
  <si>
    <t xml:space="preserve">Decision / Activity</t>
  </si>
  <si>
    <t xml:space="preserve">H1·2</t>
  </si>
  <si>
    <t xml:space="preserve">Token Cost Estimator</t>
  </si>
  <si>
    <t xml:space="preserve">What a workflow or agent will cost / month</t>
  </si>
  <si>
    <t xml:space="preserve">Know your cost</t>
  </si>
  <si>
    <t xml:space="preserve">H1·3</t>
  </si>
  <si>
    <t xml:space="preserve">Inference Profile Builder</t>
  </si>
  <si>
    <t xml:space="preserve">The exact model ID to use (and what fails)</t>
  </si>
  <si>
    <t xml:space="preserve">The gotcha</t>
  </si>
  <si>
    <t xml:space="preserve">H1·4</t>
  </si>
  <si>
    <t xml:space="preserve">LLM step or plain code?</t>
  </si>
  <si>
    <t xml:space="preserve">Where to use the model vs ordinary code</t>
  </si>
  <si>
    <t xml:space="preserve">When NOT to use Bedrock</t>
  </si>
  <si>
    <t xml:space="preserve">H2·1</t>
  </si>
  <si>
    <t xml:space="preserve">Agent Loop &amp; Loop-Guard</t>
  </si>
  <si>
    <t xml:space="preserve">How many model calls a run takes, and cost</t>
  </si>
  <si>
    <t xml:space="preserve">Agent loop / failure modes</t>
  </si>
  <si>
    <t xml:space="preserve">H2·2</t>
  </si>
  <si>
    <t xml:space="preserve">"Good Tool" Readiness</t>
  </si>
  <si>
    <t xml:space="preserve">Whether a tool is ship-ready</t>
  </si>
  <si>
    <t xml:space="preserve">Define a tool</t>
  </si>
  <si>
    <t xml:space="preserve">H2·3</t>
  </si>
  <si>
    <t xml:space="preserve">Failure-Mode Diagnostic</t>
  </si>
  <si>
    <t xml:space="preserve">The fix for a symptom you're seeing</t>
  </si>
  <si>
    <t xml:space="preserve">Failure modes</t>
  </si>
  <si>
    <t xml:space="preserve">H2·4</t>
  </si>
  <si>
    <t xml:space="preserve">Action Safety Matrix</t>
  </si>
  <si>
    <t xml:space="preserve">Ship, add a checkpoint, or block</t>
  </si>
  <si>
    <t xml:space="preserve">Guardrails</t>
  </si>
  <si>
    <t xml:space="preserve">Yellow = input you change. Bordered cells below it = live results. Rate/lookup tables sit to the right of each tab and are illustrative — confirm current Bedrock pricing and model IDs before you quote numbers.</t>
  </si>
  <si>
    <t xml:space="preserve">Answer three questions. The verdict and rationale update live.</t>
  </si>
  <si>
    <t xml:space="preserve">1.  Can you write the steps down in advance?</t>
  </si>
  <si>
    <t xml:space="preserve">Yes</t>
  </si>
  <si>
    <t xml:space="preserve">2.  Must the model choose actions at runtime?</t>
  </si>
  <si>
    <t xml:space="preserve">No</t>
  </si>
  <si>
    <t xml:space="preserve">3.  Any step that spends money or is irreversible?</t>
  </si>
  <si>
    <t xml:space="preserve">Verdict</t>
  </si>
  <si>
    <t xml:space="preserve">Why</t>
  </si>
  <si>
    <t xml:space="preserve">Guardrail</t>
  </si>
  <si>
    <t xml:space="preserve">Rule of thumb: ~80% of features should start as a workflow. The third verdict — a workflow with one bounded agentic step — fits most real enterprise systems.</t>
  </si>
  <si>
    <t xml:space="preserve">Change the dropdowns. Cost per day and per month update live.</t>
  </si>
  <si>
    <t xml:space="preserve">Model</t>
  </si>
  <si>
    <t xml:space="preserve">$/1M in</t>
  </si>
  <si>
    <t xml:space="preserve">$/1M out</t>
  </si>
  <si>
    <t xml:space="preserve">Model tier</t>
  </si>
  <si>
    <t xml:space="preserve">Sonnet</t>
  </si>
  <si>
    <t xml:space="preserve">Haiku</t>
  </si>
  <si>
    <t xml:space="preserve">Input tokens / call</t>
  </si>
  <si>
    <t xml:space="preserve">Output tokens / call</t>
  </si>
  <si>
    <t xml:space="preserve">Opus</t>
  </si>
  <si>
    <t xml:space="preserve">Calls / request  (agent multiplier)</t>
  </si>
  <si>
    <t xml:space="preserve">illustrative</t>
  </si>
  <si>
    <t xml:space="preserve">Requests / day</t>
  </si>
  <si>
    <t xml:space="preserve">Input tokens / day</t>
  </si>
  <si>
    <t xml:space="preserve">Output tokens / day</t>
  </si>
  <si>
    <t xml:space="preserve">Cost / day</t>
  </si>
  <si>
    <t xml:space="preserve">Cost / month (30 days)</t>
  </si>
  <si>
    <t xml:space="preserve">Calls / request above 1 is the agent multiplier — every tool call is another model round trip. This is the single biggest reason agents cost more than workflows.</t>
  </si>
  <si>
    <t xml:space="preserve">Inference Profile / Model-ID Builder</t>
  </si>
  <si>
    <t xml:space="preserve">Pick geography + model. Get the exact ID to put in code, and the one that fails.</t>
  </si>
  <si>
    <t xml:space="preserve">Geography</t>
  </si>
  <si>
    <t xml:space="preserve">prefix</t>
  </si>
  <si>
    <t xml:space="preserve">Model family</t>
  </si>
  <si>
    <t xml:space="preserve">base id</t>
  </si>
  <si>
    <t xml:space="preserve">US</t>
  </si>
  <si>
    <t xml:space="preserve">us.</t>
  </si>
  <si>
    <t xml:space="preserve">Claude Sonnet</t>
  </si>
  <si>
    <t xml:space="preserve">anthropic.claude-sonnet-4-6</t>
  </si>
  <si>
    <t xml:space="preserve">EU</t>
  </si>
  <si>
    <t xml:space="preserve">eu.</t>
  </si>
  <si>
    <t xml:space="preserve">Claude Haiku</t>
  </si>
  <si>
    <t xml:space="preserve">anthropic.claude-haiku-4-5-20251001-v1:0</t>
  </si>
  <si>
    <t xml:space="preserve">APAC</t>
  </si>
  <si>
    <t xml:space="preserve">apac.</t>
  </si>
  <si>
    <t xml:space="preserve">Claude Opus</t>
  </si>
  <si>
    <t xml:space="preserve">anthropic.claude-opus-4-6</t>
  </si>
  <si>
    <t xml:space="preserve">Japan</t>
  </si>
  <si>
    <t xml:space="preserve">jp.</t>
  </si>
  <si>
    <t xml:space="preserve">USE THIS in code</t>
  </si>
  <si>
    <t xml:space="preserve">Global</t>
  </si>
  <si>
    <t xml:space="preserve">global.</t>
  </si>
  <si>
    <t xml:space="preserve">This FAILS on-demand</t>
  </si>
  <si>
    <t xml:space="preserve">The bare model ID throws: "Invocation of model ID ... with on-demand throughput isn't supported. Retry with the ID or ARN of an inference profile."</t>
  </si>
  <si>
    <t xml:space="preserve">Data residency</t>
  </si>
  <si>
    <t xml:space="preserve">Classify each step. Score updates live. (Pre-filled all as 'LLM' on purpose — fix them.)</t>
  </si>
  <si>
    <t xml:space="preserve">Candidate step</t>
  </si>
  <si>
    <t xml:space="preserve">Your call</t>
  </si>
  <si>
    <t xml:space="preserve">Feedback</t>
  </si>
  <si>
    <t xml:space="preserve">key</t>
  </si>
  <si>
    <t xml:space="preserve">Resolve "goa" to airport code GOI</t>
  </si>
  <si>
    <t xml:space="preserve">LLM</t>
  </si>
  <si>
    <t xml:space="preserve">DB</t>
  </si>
  <si>
    <t xml:space="preserve">Pull the intent out of a free-text complaint</t>
  </si>
  <si>
    <t xml:space="preserve">Add 18% GST to a fare</t>
  </si>
  <si>
    <t xml:space="preserve">Code</t>
  </si>
  <si>
    <t xml:space="preserve">Decide: is this a booking or a complaint?</t>
  </si>
  <si>
    <t xml:space="preserve">Validate a PNR format (6 alphanumeric chars)</t>
  </si>
  <si>
    <t xml:space="preserve">Look up a customer's tier by member ID</t>
  </si>
  <si>
    <t xml:space="preserve">Summarise 50 reviews into 3 themes</t>
  </si>
  <si>
    <t xml:space="preserve">Convert USD to INR given today's rate</t>
  </si>
  <si>
    <t xml:space="preserve">Rank search results by price</t>
  </si>
  <si>
    <t xml:space="preserve">Rewrite a refund denial politely</t>
  </si>
  <si>
    <t xml:space="preserve">Score</t>
  </si>
  <si>
    <t xml:space="preserve">Use the model only for the language jobs (rows 2,4,7,10). Lookups go to a DB; math and validation are plain code. Over-using the model is the most common waste in the industry.</t>
  </si>
  <si>
    <t xml:space="preserve">Agent Loop &amp; Loop-Guard Simulator</t>
  </si>
  <si>
    <t xml:space="preserve">Model the blast radius of an agent run before you ship it.</t>
  </si>
  <si>
    <t xml:space="preserve">$/1M blended</t>
  </si>
  <si>
    <t xml:space="preserve">Tools the task needs</t>
  </si>
  <si>
    <t xml:space="preserve">Retries per tool on error</t>
  </si>
  <si>
    <t xml:space="preserve">max_iters  (loop guard)</t>
  </si>
  <si>
    <t xml:space="preserve">Tokens / model call</t>
  </si>
  <si>
    <t xml:space="preserve">Planned model calls</t>
  </si>
  <si>
    <t xml:space="preserve">Guard fires?</t>
  </si>
  <si>
    <t xml:space="preserve">Effective calls (capped)</t>
  </si>
  <si>
    <t xml:space="preserve">Est. cost / 1,000 runs</t>
  </si>
  <si>
    <t xml:space="preserve">Every tool call is a model round trip. Retries and extra tools multiply fast — set tools needed to 4 with 3 retries and watch the guard catch it. The guard caps the cost blast radius.</t>
  </si>
  <si>
    <t xml:space="preserve">Yes/No each criterion. Readiness score and verdict update live.</t>
  </si>
  <si>
    <t xml:space="preserve">Description says WHEN to use it, not just what it does</t>
  </si>
  <si>
    <t xml:space="preserve">The tool does exactly one job</t>
  </si>
  <si>
    <t xml:space="preserve">The input schema constrains every argument</t>
  </si>
  <si>
    <t xml:space="preserve">Required fields are marked required</t>
  </si>
  <si>
    <t xml:space="preserve">It is clear whether this is a read or a write tool</t>
  </si>
  <si>
    <t xml:space="preserve">Write / irreversible actions sit behind a human checkpoint</t>
  </si>
  <si>
    <t xml:space="preserve">It returns a clear error (status) on failure, not silence</t>
  </si>
  <si>
    <t xml:space="preserve">The name is specific and reusable, not do_everything</t>
  </si>
  <si>
    <t xml:space="preserve">Readiness</t>
  </si>
  <si>
    <t xml:space="preserve">The description is a prompt, not a docstring — it tells the model when to reach for the tool. Schema + required fields are also how you get reliable structured arguments.</t>
  </si>
  <si>
    <t xml:space="preserve">Pick the symptom you're seeing. The mode and the cheapest fix appear.</t>
  </si>
  <si>
    <t xml:space="preserve">symptom</t>
  </si>
  <si>
    <t xml:space="preserve">mode</t>
  </si>
  <si>
    <t xml:space="preserve">fix</t>
  </si>
  <si>
    <t xml:space="preserve">Same tool called over and over</t>
  </si>
  <si>
    <t xml:space="preserve">Infinite loop</t>
  </si>
  <si>
    <t xml:space="preserve">Loop guard (max_iters), never while True</t>
  </si>
  <si>
    <t xml:space="preserve">Symptom</t>
  </si>
  <si>
    <t xml:space="preserve">Tool called with an invented value</t>
  </si>
  <si>
    <t xml:space="preserve">Hallucinated argument</t>
  </si>
  <si>
    <t xml:space="preserve">Validate args before running the tool</t>
  </si>
  <si>
    <t xml:space="preserve">Agent continues after a tool error</t>
  </si>
  <si>
    <t xml:space="preserve">Silent tool failure</t>
  </si>
  <si>
    <t xml:space="preserve">Return status:error, don't swallow it</t>
  </si>
  <si>
    <t xml:space="preserve">Failure mode</t>
  </si>
  <si>
    <t xml:space="preserve">A refund question triggers a search</t>
  </si>
  <si>
    <t xml:space="preserve">Wrong tool</t>
  </si>
  <si>
    <t xml:space="preserve">Sharpen the tool description</t>
  </si>
  <si>
    <t xml:space="preserve">Cheapest fix</t>
  </si>
  <si>
    <t xml:space="preserve">One query costs ~40 model calls</t>
  </si>
  <si>
    <t xml:space="preserve">Cost blow-up</t>
  </si>
  <si>
    <t xml:space="preserve">Loop guard + token budget + smaller model</t>
  </si>
  <si>
    <t xml:space="preserve">Says "done" but nothing changed</t>
  </si>
  <si>
    <t xml:space="preserve">Confident wrong answer</t>
  </si>
  <si>
    <t xml:space="preserve">Human checkpoint; split read / write tools</t>
  </si>
  <si>
    <t xml:space="preserve">Every one of these is common in week one. Every fix is cheap if you designed for it and expensive if you didn't.</t>
  </si>
  <si>
    <t xml:space="preserve">Action Safety / Guardrail Matrix</t>
  </si>
  <si>
    <t xml:space="preserve">Describe the action and the controls in place. Get a ship / checkpoint / block verdict.</t>
  </si>
  <si>
    <t xml:space="preserve">Action type</t>
  </si>
  <si>
    <t xml:space="preserve">Read-only</t>
  </si>
  <si>
    <t xml:space="preserve">PII in the flow?</t>
  </si>
  <si>
    <t xml:space="preserve">Guardrail attached?</t>
  </si>
  <si>
    <t xml:space="preserve">Human checkpoint before the action?</t>
  </si>
  <si>
    <t xml:space="preserve">Never ship an agent naked. Money and irreversible actions need a human checkpoint; any PII in the flow needs a guardrail. Read-only tools are the safe default.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</si>
</sst>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#,##0"/>
    <numFmt numFmtId="167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.5"/>
      <color rgb="FF6B7280"/>
      <name val="Arial"/>
      <family val="0"/>
      <charset val="1"/>
    </font>
    <font>
      <b val="true"/>
      <sz val="10"/>
      <color rgb="FF1B2A41"/>
      <name val="Arial"/>
      <family val="0"/>
      <charset val="1"/>
    </font>
    <font>
      <b val="true"/>
      <sz val="10.5"/>
      <color rgb="FFC2703D"/>
      <name val="Arial"/>
      <family val="0"/>
      <charset val="1"/>
    </font>
    <font>
      <b val="true"/>
      <sz val="10.5"/>
      <color rgb="FF1B2A41"/>
      <name val="Arial"/>
      <family val="0"/>
      <charset val="1"/>
    </font>
    <font>
      <sz val="10.5"/>
      <color rgb="FF1F2430"/>
      <name val="Arial"/>
      <family val="0"/>
      <charset val="1"/>
    </font>
    <font>
      <b val="true"/>
      <sz val="10.5"/>
      <color rgb="FF32436B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1B2A41"/>
      <name val="Arial"/>
      <family val="0"/>
      <charset val="1"/>
    </font>
    <font>
      <b val="true"/>
      <sz val="11"/>
      <color rgb="FF1F2430"/>
      <name val="Arial"/>
      <family val="0"/>
      <charset val="1"/>
    </font>
    <font>
      <sz val="10"/>
      <color rgb="FF1F243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sz val="9.5"/>
      <color rgb="FF1F2430"/>
      <name val="Arial"/>
      <family val="0"/>
      <charset val="1"/>
    </font>
    <font>
      <b val="true"/>
      <sz val="10.5"/>
      <color rgb="FF9A3B33"/>
      <name val="Arial"/>
      <family val="0"/>
      <charset val="1"/>
    </font>
    <font>
      <b val="true"/>
      <sz val="10"/>
      <color rgb="FF32436B"/>
      <name val="Arial"/>
      <family val="0"/>
      <charset val="1"/>
    </font>
    <font>
      <sz val="9"/>
      <color rgb="FF6B728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1"/>
        <bgColor rgb="FF1F2430"/>
      </patternFill>
    </fill>
    <fill>
      <patternFill patternType="solid">
        <fgColor rgb="FFDCE5F2"/>
        <bgColor rgb="FFD6E9D5"/>
      </patternFill>
    </fill>
    <fill>
      <patternFill patternType="solid">
        <fgColor rgb="FFFFFFFF"/>
        <bgColor rgb="FFF2F4F7"/>
      </patternFill>
    </fill>
    <fill>
      <patternFill patternType="solid">
        <fgColor rgb="FFF2F4F7"/>
        <bgColor rgb="FFFFFFFF"/>
      </patternFill>
    </fill>
    <fill>
      <patternFill patternType="solid">
        <fgColor rgb="FFFCEFCF"/>
        <bgColor rgb="FFF6E7C9"/>
      </patternFill>
    </fill>
    <fill>
      <patternFill patternType="solid">
        <fgColor rgb="FFD6E9D5"/>
        <bgColor rgb="FFDCE5F2"/>
      </patternFill>
    </fill>
    <fill>
      <patternFill patternType="solid">
        <fgColor rgb="FFF2D4D0"/>
        <bgColor rgb="FFF6E7C9"/>
      </patternFill>
    </fill>
    <fill>
      <patternFill patternType="solid">
        <fgColor rgb="FFF6E7C9"/>
        <bgColor rgb="FFFCEFC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4C9D2"/>
      </left>
      <right style="thin">
        <color rgb="FFC4C9D2"/>
      </right>
      <top style="thin">
        <color rgb="FFC4C9D2"/>
      </top>
      <bottom style="thin">
        <color rgb="FFC4C9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6E9D5"/>
        </patternFill>
      </fill>
    </dxf>
    <dxf>
      <fill>
        <patternFill>
          <bgColor rgb="FFF6E7C9"/>
        </patternFill>
      </fill>
    </dxf>
    <dxf>
      <fill>
        <patternFill>
          <bgColor rgb="FFF2D4D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9D2"/>
      <rgbColor rgb="FF808080"/>
      <rgbColor rgb="FF9999FF"/>
      <rgbColor rgb="FF9A3B33"/>
      <rgbColor rgb="FFFCEFCF"/>
      <rgbColor rgb="FFF2F4F7"/>
      <rgbColor rgb="FF660066"/>
      <rgbColor rgb="FFFF8080"/>
      <rgbColor rgb="FF0066CC"/>
      <rgbColor rgb="FFDCE5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9D5"/>
      <rgbColor rgb="FFF6E7C9"/>
      <rgbColor rgb="FF99CCFF"/>
      <rgbColor rgb="FFFF99CC"/>
      <rgbColor rgb="FFCC99FF"/>
      <rgbColor rgb="FFF2D4D0"/>
      <rgbColor rgb="FF3366FF"/>
      <rgbColor rgb="FF33CCCC"/>
      <rgbColor rgb="FF99CC00"/>
      <rgbColor rgb="FFFFCC00"/>
      <rgbColor rgb="FFFF9900"/>
      <rgbColor rgb="FFC2703D"/>
      <rgbColor rgb="FF6B7280"/>
      <rgbColor rgb="FF969696"/>
      <rgbColor rgb="FF003366"/>
      <rgbColor rgb="FF339966"/>
      <rgbColor rgb="FF003300"/>
      <rgbColor rgb="FF1F2430"/>
      <rgbColor rgb="FF993300"/>
      <rgbColor rgb="FF993366"/>
      <rgbColor rgb="FF32436B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46"/>
    <col collapsed="false" customWidth="true" hidden="false" outlineLevel="0" max="4" min="4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9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1.75" hidden="false" customHeight="true" outlineLevel="0" collapsed="false">
      <c r="A5" s="4" t="s">
        <v>6</v>
      </c>
      <c r="B5" s="5" t="s">
        <v>7</v>
      </c>
      <c r="C5" s="6" t="s">
        <v>8</v>
      </c>
      <c r="D5" s="6" t="s">
        <v>9</v>
      </c>
    </row>
    <row r="6" customFormat="false" ht="21.75" hidden="false" customHeight="true" outlineLevel="0" collapsed="false">
      <c r="A6" s="7" t="s">
        <v>10</v>
      </c>
      <c r="B6" s="8" t="s">
        <v>11</v>
      </c>
      <c r="C6" s="9" t="s">
        <v>12</v>
      </c>
      <c r="D6" s="9" t="s">
        <v>13</v>
      </c>
    </row>
    <row r="7" customFormat="false" ht="21.75" hidden="false" customHeight="true" outlineLevel="0" collapsed="false">
      <c r="A7" s="4" t="s">
        <v>14</v>
      </c>
      <c r="B7" s="5" t="s">
        <v>15</v>
      </c>
      <c r="C7" s="6" t="s">
        <v>16</v>
      </c>
      <c r="D7" s="6" t="s">
        <v>17</v>
      </c>
    </row>
    <row r="8" customFormat="false" ht="21.75" hidden="false" customHeight="true" outlineLevel="0" collapsed="false">
      <c r="A8" s="7" t="s">
        <v>18</v>
      </c>
      <c r="B8" s="8" t="s">
        <v>19</v>
      </c>
      <c r="C8" s="9" t="s">
        <v>20</v>
      </c>
      <c r="D8" s="9" t="s">
        <v>21</v>
      </c>
    </row>
    <row r="9" customFormat="false" ht="21.75" hidden="false" customHeight="true" outlineLevel="0" collapsed="false">
      <c r="A9" s="10" t="s">
        <v>22</v>
      </c>
      <c r="B9" s="5" t="s">
        <v>23</v>
      </c>
      <c r="C9" s="6" t="s">
        <v>24</v>
      </c>
      <c r="D9" s="6" t="s">
        <v>25</v>
      </c>
    </row>
    <row r="10" customFormat="false" ht="21.75" hidden="false" customHeight="true" outlineLevel="0" collapsed="false">
      <c r="A10" s="11" t="s">
        <v>26</v>
      </c>
      <c r="B10" s="8" t="s">
        <v>27</v>
      </c>
      <c r="C10" s="9" t="s">
        <v>28</v>
      </c>
      <c r="D10" s="9" t="s">
        <v>29</v>
      </c>
    </row>
    <row r="11" customFormat="false" ht="21.75" hidden="false" customHeight="true" outlineLevel="0" collapsed="false">
      <c r="A11" s="10" t="s">
        <v>30</v>
      </c>
      <c r="B11" s="5" t="s">
        <v>31</v>
      </c>
      <c r="C11" s="6" t="s">
        <v>32</v>
      </c>
      <c r="D11" s="6" t="s">
        <v>33</v>
      </c>
    </row>
    <row r="12" customFormat="false" ht="21.75" hidden="false" customHeight="true" outlineLevel="0" collapsed="false">
      <c r="A12" s="11" t="s">
        <v>34</v>
      </c>
      <c r="B12" s="8" t="s">
        <v>35</v>
      </c>
      <c r="C12" s="9" t="s">
        <v>36</v>
      </c>
      <c r="D12" s="9" t="s">
        <v>37</v>
      </c>
    </row>
    <row r="14" customFormat="false" ht="23.85" hidden="false" customHeight="true" outlineLevel="0" collapsed="false">
      <c r="A14" s="12" t="s">
        <v>38</v>
      </c>
      <c r="B14" s="12"/>
      <c r="C14" s="12"/>
      <c r="D14" s="12"/>
    </row>
  </sheetData>
  <mergeCells count="3">
    <mergeCell ref="A1:D1"/>
    <mergeCell ref="A2:D2"/>
    <mergeCell ref="A14:D14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30"/>
    <col collapsed="false" customWidth="true" hidden="false" outlineLevel="0" max="4" min="4" style="0" width="4"/>
    <col collapsed="false" customWidth="true" hidden="false" outlineLevel="0" max="5" min="5" style="0" width="40"/>
  </cols>
  <sheetData>
    <row r="1" customFormat="false" ht="30" hidden="false" customHeight="true" outlineLevel="0" collapsed="false">
      <c r="A1" s="1" t="s">
        <v>7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39</v>
      </c>
      <c r="B2" s="2"/>
      <c r="C2" s="2"/>
      <c r="D2" s="2"/>
      <c r="E2" s="2"/>
    </row>
    <row r="4" customFormat="false" ht="15" hidden="false" customHeight="false" outlineLevel="0" collapsed="false">
      <c r="B4" s="13" t="s">
        <v>40</v>
      </c>
      <c r="C4" s="14" t="s">
        <v>41</v>
      </c>
    </row>
    <row r="5" customFormat="false" ht="15" hidden="false" customHeight="false" outlineLevel="0" collapsed="false">
      <c r="B5" s="13" t="s">
        <v>42</v>
      </c>
      <c r="C5" s="14" t="s">
        <v>43</v>
      </c>
    </row>
    <row r="6" customFormat="false" ht="15" hidden="false" customHeight="false" outlineLevel="0" collapsed="false">
      <c r="B6" s="13" t="s">
        <v>44</v>
      </c>
      <c r="C6" s="14" t="s">
        <v>43</v>
      </c>
    </row>
    <row r="8" customFormat="false" ht="15" hidden="false" customHeight="false" outlineLevel="0" collapsed="false">
      <c r="B8" s="13" t="s">
        <v>45</v>
      </c>
      <c r="C8" s="15" t="str">
        <f aca="false">IF(AND(C4="Yes",C5="No"),"WORKFLOW",IF(C5="Yes","AGENT (cage it)","WORKFLOW + one agentic step"))</f>
        <v>WORKFLOW</v>
      </c>
    </row>
    <row r="9" customFormat="false" ht="39.75" hidden="false" customHeight="true" outlineLevel="0" collapsed="false">
      <c r="B9" s="13" t="s">
        <v>46</v>
      </c>
      <c r="C9" s="16" t="str">
        <f aca="false">IF(AND(C4="Yes",C5="No"),"Steps are known. Don't add an agent for resume value.",IF(C5="Yes","The model must decide the path. Tools small, loop guarded, actions gated, traced.","Mostly deterministic with one open step. Most real systems."))</f>
        <v>Steps are known. Don't add an agent for resume value.</v>
      </c>
    </row>
    <row r="10" customFormat="false" ht="30" hidden="false" customHeight="true" outlineLevel="0" collapsed="false">
      <c r="B10" s="13" t="s">
        <v>47</v>
      </c>
      <c r="C10" s="16" t="str">
        <f aca="false">IF(C6="Yes","Put a human checkpoint before the money / irreversible step.","No irreversible step flagged.")</f>
        <v>No irreversible step flagged.</v>
      </c>
    </row>
    <row r="12" customFormat="false" ht="23.85" hidden="false" customHeight="true" outlineLevel="0" collapsed="false">
      <c r="A12" s="12" t="s">
        <v>48</v>
      </c>
      <c r="B12" s="12"/>
      <c r="C12" s="12"/>
      <c r="D12" s="12"/>
      <c r="E12" s="12"/>
    </row>
  </sheetData>
  <mergeCells count="3">
    <mergeCell ref="A1:E1"/>
    <mergeCell ref="A2:E2"/>
    <mergeCell ref="A12:E12"/>
  </mergeCells>
  <conditionalFormatting sqref="C8">
    <cfRule type="expression" priority="2" aboveAverage="0" equalAverage="0" bottom="0" percent="0" rank="0" text="" dxfId="0">
      <formula>$C$8="WORKFLOW"</formula>
    </cfRule>
    <cfRule type="expression" priority="3" aboveAverage="0" equalAverage="0" bottom="0" percent="0" rank="0" text="" dxfId="1">
      <formula>$C$8="WORKFLOW + one agentic step"</formula>
    </cfRule>
    <cfRule type="expression" priority="4" aboveAverage="0" equalAverage="0" bottom="0" percent="0" rank="0" text="" dxfId="2">
      <formula>$C$8="AGENT (cage it)"</formula>
    </cfRule>
  </conditionalFormatting>
  <dataValidations count="3">
    <dataValidation allowBlank="false" errorStyle="stop" operator="between" showDropDown="false" showErrorMessage="false" showInputMessage="false" sqref="C4" type="list">
      <formula1>"Yes,No"</formula1>
      <formula2>0</formula2>
    </dataValidation>
    <dataValidation allowBlank="false" errorStyle="stop" operator="between" showDropDown="false" showErrorMessage="false" showInputMessage="false" sqref="C5" type="list">
      <formula1>"Yes,No"</formula1>
      <formula2>0</formula2>
    </dataValidation>
    <dataValidation allowBlank="false" errorStyle="stop" operator="between" showDropDown="false" showErrorMessage="false" showInputMessage="false" sqref="C6" type="list">
      <formula1>"Yes,No"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"/>
    <col collapsed="false" customWidth="true" hidden="false" outlineLevel="0" max="5" min="5" style="0" width="16"/>
    <col collapsed="false" customWidth="true" hidden="false" outlineLevel="0" max="7" min="6" style="0" width="14"/>
  </cols>
  <sheetData>
    <row r="1" customFormat="false" ht="30" hidden="false" customHeight="true" outlineLevel="0" collapsed="false">
      <c r="A1" s="1" t="s">
        <v>11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49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E3" s="3" t="s">
        <v>50</v>
      </c>
      <c r="F3" s="3" t="s">
        <v>51</v>
      </c>
      <c r="G3" s="3" t="s">
        <v>52</v>
      </c>
    </row>
    <row r="4" customFormat="false" ht="15" hidden="false" customHeight="false" outlineLevel="0" collapsed="false">
      <c r="B4" s="13" t="s">
        <v>53</v>
      </c>
      <c r="C4" s="14" t="s">
        <v>54</v>
      </c>
      <c r="E4" s="17" t="s">
        <v>55</v>
      </c>
      <c r="F4" s="18" t="n">
        <v>0.8</v>
      </c>
      <c r="G4" s="18" t="n">
        <v>4</v>
      </c>
    </row>
    <row r="5" customFormat="false" ht="15" hidden="false" customHeight="false" outlineLevel="0" collapsed="false">
      <c r="B5" s="13" t="s">
        <v>56</v>
      </c>
      <c r="C5" s="14" t="n">
        <v>2000</v>
      </c>
      <c r="E5" s="17" t="s">
        <v>54</v>
      </c>
      <c r="F5" s="18" t="n">
        <v>3</v>
      </c>
      <c r="G5" s="18" t="n">
        <v>15</v>
      </c>
    </row>
    <row r="6" customFormat="false" ht="15" hidden="false" customHeight="false" outlineLevel="0" collapsed="false">
      <c r="B6" s="13" t="s">
        <v>57</v>
      </c>
      <c r="C6" s="14" t="n">
        <v>500</v>
      </c>
      <c r="E6" s="17" t="s">
        <v>58</v>
      </c>
      <c r="F6" s="18" t="n">
        <v>15</v>
      </c>
      <c r="G6" s="18" t="n">
        <v>75</v>
      </c>
    </row>
    <row r="7" customFormat="false" ht="15" hidden="false" customHeight="false" outlineLevel="0" collapsed="false">
      <c r="B7" s="13" t="s">
        <v>59</v>
      </c>
      <c r="C7" s="14" t="n">
        <v>3</v>
      </c>
      <c r="E7" s="19" t="s">
        <v>60</v>
      </c>
    </row>
    <row r="8" customFormat="false" ht="15" hidden="false" customHeight="false" outlineLevel="0" collapsed="false">
      <c r="B8" s="13" t="s">
        <v>61</v>
      </c>
      <c r="C8" s="14" t="n">
        <v>1000</v>
      </c>
    </row>
    <row r="10" customFormat="false" ht="15" hidden="false" customHeight="false" outlineLevel="0" collapsed="false">
      <c r="B10" s="13" t="s">
        <v>62</v>
      </c>
      <c r="C10" s="20" t="n">
        <f aca="false">C5*C7*C8</f>
        <v>6000000</v>
      </c>
    </row>
    <row r="11" customFormat="false" ht="15" hidden="false" customHeight="false" outlineLevel="0" collapsed="false">
      <c r="B11" s="13" t="s">
        <v>63</v>
      </c>
      <c r="C11" s="20" t="n">
        <f aca="false">C6*C7*C8</f>
        <v>1500000</v>
      </c>
    </row>
    <row r="12" customFormat="false" ht="15" hidden="false" customHeight="false" outlineLevel="0" collapsed="false">
      <c r="B12" s="13" t="s">
        <v>64</v>
      </c>
      <c r="C12" s="21" t="n">
        <f aca="false">C10/1000000*VLOOKUP(C4,$E$4:$G$6,2,0)+C11/1000000*VLOOKUP(C4,$E$4:$G$6,3,0)</f>
        <v>40.5</v>
      </c>
    </row>
    <row r="13" customFormat="false" ht="15" hidden="false" customHeight="false" outlineLevel="0" collapsed="false">
      <c r="B13" s="13" t="s">
        <v>65</v>
      </c>
      <c r="C13" s="21" t="n">
        <f aca="false">C12*30</f>
        <v>1215</v>
      </c>
    </row>
    <row r="15" customFormat="false" ht="23.85" hidden="false" customHeight="true" outlineLevel="0" collapsed="false">
      <c r="A15" s="12" t="s">
        <v>66</v>
      </c>
      <c r="B15" s="12"/>
      <c r="C15" s="12"/>
      <c r="D15" s="12"/>
      <c r="E15" s="12"/>
      <c r="F15" s="12"/>
      <c r="G15" s="12"/>
    </row>
  </sheetData>
  <mergeCells count="3">
    <mergeCell ref="A1:G1"/>
    <mergeCell ref="A2:G2"/>
    <mergeCell ref="A15:G15"/>
  </mergeCells>
  <conditionalFormatting sqref="C13">
    <cfRule type="expression" priority="2" aboveAverage="0" equalAverage="0" bottom="0" percent="0" rank="0" text="" dxfId="0">
      <formula>$C$13&lt;100</formula>
    </cfRule>
    <cfRule type="expression" priority="3" aboveAverage="0" equalAverage="0" bottom="0" percent="0" rank="0" text="" dxfId="1">
      <formula>AND($C$13&gt;=100,$C$13&lt;=2000)</formula>
    </cfRule>
    <cfRule type="expression" priority="4" aboveAverage="0" equalAverage="0" bottom="0" percent="0" rank="0" text="" dxfId="2">
      <formula>$C$13&gt;2000</formula>
    </cfRule>
  </conditionalFormatting>
  <dataValidations count="5">
    <dataValidation allowBlank="false" errorStyle="stop" operator="between" showDropDown="false" showErrorMessage="false" showInputMessage="false" sqref="C4" type="list">
      <formula1>"Haiku,Sonnet,Opus"</formula1>
      <formula2>0</formula2>
    </dataValidation>
    <dataValidation allowBlank="false" errorStyle="stop" operator="between" showDropDown="false" showErrorMessage="false" showInputMessage="false" sqref="C5" type="list">
      <formula1>"500,1000,2000,4000,8000"</formula1>
      <formula2>0</formula2>
    </dataValidation>
    <dataValidation allowBlank="false" errorStyle="stop" operator="between" showDropDown="false" showErrorMessage="false" showInputMessage="false" sqref="C6" type="list">
      <formula1>"200,500,1000,2000"</formula1>
      <formula2>0</formula2>
    </dataValidation>
    <dataValidation allowBlank="false" errorStyle="stop" operator="between" showDropDown="false" showErrorMessage="false" showInputMessage="false" sqref="C7" type="list">
      <formula1>"1,2,3,5,10"</formula1>
      <formula2>0</formula2>
    </dataValidation>
    <dataValidation allowBlank="false" errorStyle="stop" operator="between" showDropDown="false" showErrorMessage="false" showInputMessage="false" sqref="C8" type="list">
      <formula1>"100,1000,5000,20000,100000"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4"/>
    <col collapsed="false" customWidth="true" hidden="false" outlineLevel="0" max="6" min="5" style="0" width="16"/>
    <col collapsed="false" customWidth="true" hidden="false" outlineLevel="0" max="7" min="7" style="0" width="3"/>
    <col collapsed="false" customWidth="true" hidden="false" outlineLevel="0" max="8" min="8" style="0" width="20"/>
    <col collapsed="false" customWidth="true" hidden="false" outlineLevel="0" max="9" min="9" style="0" width="34"/>
  </cols>
  <sheetData>
    <row r="1" customFormat="false" ht="30" hidden="false" customHeight="true" outlineLevel="0" collapsed="false">
      <c r="A1" s="1" t="s">
        <v>67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68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E3" s="3" t="s">
        <v>69</v>
      </c>
      <c r="F3" s="3" t="s">
        <v>70</v>
      </c>
      <c r="H3" s="3" t="s">
        <v>71</v>
      </c>
      <c r="I3" s="3" t="s">
        <v>72</v>
      </c>
    </row>
    <row r="4" customFormat="false" ht="15" hidden="false" customHeight="false" outlineLevel="0" collapsed="false">
      <c r="B4" s="13" t="s">
        <v>69</v>
      </c>
      <c r="C4" s="14" t="s">
        <v>73</v>
      </c>
      <c r="E4" s="17" t="s">
        <v>73</v>
      </c>
      <c r="F4" s="17" t="s">
        <v>74</v>
      </c>
      <c r="H4" s="22" t="s">
        <v>75</v>
      </c>
      <c r="I4" s="23" t="s">
        <v>76</v>
      </c>
    </row>
    <row r="5" customFormat="false" ht="15" hidden="false" customHeight="false" outlineLevel="0" collapsed="false">
      <c r="B5" s="13" t="s">
        <v>71</v>
      </c>
      <c r="C5" s="14" t="s">
        <v>75</v>
      </c>
      <c r="E5" s="17" t="s">
        <v>77</v>
      </c>
      <c r="F5" s="17" t="s">
        <v>78</v>
      </c>
      <c r="H5" s="22" t="s">
        <v>79</v>
      </c>
      <c r="I5" s="23" t="s">
        <v>80</v>
      </c>
    </row>
    <row r="6" customFormat="false" ht="15" hidden="false" customHeight="false" outlineLevel="0" collapsed="false">
      <c r="E6" s="17" t="s">
        <v>81</v>
      </c>
      <c r="F6" s="17" t="s">
        <v>82</v>
      </c>
      <c r="H6" s="22" t="s">
        <v>83</v>
      </c>
      <c r="I6" s="23" t="s">
        <v>84</v>
      </c>
    </row>
    <row r="7" customFormat="false" ht="15" hidden="false" customHeight="false" outlineLevel="0" collapsed="false">
      <c r="E7" s="17" t="s">
        <v>85</v>
      </c>
      <c r="F7" s="17" t="s">
        <v>86</v>
      </c>
    </row>
    <row r="8" customFormat="false" ht="15" hidden="false" customHeight="false" outlineLevel="0" collapsed="false">
      <c r="B8" s="13" t="s">
        <v>87</v>
      </c>
      <c r="C8" s="24" t="str">
        <f aca="false">VLOOKUP(C4,$E$4:$F$8,2,0)&amp;VLOOKUP(C5,$H$4:$I$6,2,0)</f>
        <v>us.anthropic.claude-sonnet-4-6</v>
      </c>
      <c r="E8" s="17" t="s">
        <v>88</v>
      </c>
      <c r="F8" s="17" t="s">
        <v>89</v>
      </c>
    </row>
    <row r="9" customFormat="false" ht="15" hidden="false" customHeight="false" outlineLevel="0" collapsed="false">
      <c r="B9" s="13" t="s">
        <v>90</v>
      </c>
      <c r="C9" s="25" t="str">
        <f aca="false">VLOOKUP(C5,$H$4:$I$6,2,0)</f>
        <v>anthropic.claude-sonnet-4-6</v>
      </c>
    </row>
    <row r="11" customFormat="false" ht="23.85" hidden="false" customHeight="true" outlineLevel="0" collapsed="false">
      <c r="A11" s="12" t="s">
        <v>91</v>
      </c>
      <c r="B11" s="12"/>
      <c r="C11" s="12"/>
      <c r="D11" s="12"/>
      <c r="E11" s="12"/>
      <c r="F11" s="12"/>
    </row>
    <row r="13" customFormat="false" ht="30" hidden="false" customHeight="true" outlineLevel="0" collapsed="false">
      <c r="B13" s="13" t="s">
        <v>92</v>
      </c>
      <c r="C13" s="16" t="str">
        <f aca="false">IF(C4="Global","Routes worldwide. ~10% cheaper. No data residency.","Stays within "&amp;C4&amp;" for residency compliance.")</f>
        <v>Stays within US for residency compliance.</v>
      </c>
    </row>
  </sheetData>
  <mergeCells count="3">
    <mergeCell ref="A1:I1"/>
    <mergeCell ref="A2:I2"/>
    <mergeCell ref="A11:F11"/>
  </mergeCells>
  <dataValidations count="2">
    <dataValidation allowBlank="false" errorStyle="stop" operator="between" showDropDown="false" showErrorMessage="false" showInputMessage="false" sqref="C4" type="list">
      <formula1>"US,EU,APAC,Japan,Global"</formula1>
      <formula2>0</formula2>
    </dataValidation>
    <dataValidation allowBlank="false" errorStyle="stop" operator="between" showDropDown="false" showErrorMessage="false" showInputMessage="false" sqref="C5" type="list">
      <formula1>"Claude Sonnet,Claude Haiku,Claude Opus"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19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93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94</v>
      </c>
      <c r="C4" s="3" t="s">
        <v>95</v>
      </c>
      <c r="D4" s="3" t="s">
        <v>96</v>
      </c>
      <c r="E4" s="3" t="s">
        <v>97</v>
      </c>
    </row>
    <row r="5" customFormat="false" ht="15" hidden="false" customHeight="false" outlineLevel="0" collapsed="false">
      <c r="A5" s="26" t="n">
        <v>1</v>
      </c>
      <c r="B5" s="27" t="s">
        <v>98</v>
      </c>
      <c r="C5" s="14" t="s">
        <v>99</v>
      </c>
      <c r="D5" s="28" t="str">
        <f aca="false">IF(C5=E5,"correct","try again")</f>
        <v>try again</v>
      </c>
      <c r="E5" s="29" t="s">
        <v>100</v>
      </c>
    </row>
    <row r="6" customFormat="false" ht="15" hidden="false" customHeight="false" outlineLevel="0" collapsed="false">
      <c r="A6" s="26" t="n">
        <v>2</v>
      </c>
      <c r="B6" s="27" t="s">
        <v>101</v>
      </c>
      <c r="C6" s="14" t="s">
        <v>99</v>
      </c>
      <c r="D6" s="28" t="str">
        <f aca="false">IF(C6=E6,"correct","try again")</f>
        <v>correct</v>
      </c>
      <c r="E6" s="29" t="s">
        <v>99</v>
      </c>
    </row>
    <row r="7" customFormat="false" ht="15" hidden="false" customHeight="false" outlineLevel="0" collapsed="false">
      <c r="A7" s="26" t="n">
        <v>3</v>
      </c>
      <c r="B7" s="27" t="s">
        <v>102</v>
      </c>
      <c r="C7" s="14" t="s">
        <v>99</v>
      </c>
      <c r="D7" s="28" t="str">
        <f aca="false">IF(C7=E7,"correct","try again")</f>
        <v>try again</v>
      </c>
      <c r="E7" s="29" t="s">
        <v>103</v>
      </c>
    </row>
    <row r="8" customFormat="false" ht="15" hidden="false" customHeight="false" outlineLevel="0" collapsed="false">
      <c r="A8" s="26" t="n">
        <v>4</v>
      </c>
      <c r="B8" s="27" t="s">
        <v>104</v>
      </c>
      <c r="C8" s="14" t="s">
        <v>99</v>
      </c>
      <c r="D8" s="28" t="str">
        <f aca="false">IF(C8=E8,"correct","try again")</f>
        <v>correct</v>
      </c>
      <c r="E8" s="29" t="s">
        <v>99</v>
      </c>
    </row>
    <row r="9" customFormat="false" ht="15" hidden="false" customHeight="false" outlineLevel="0" collapsed="false">
      <c r="A9" s="26" t="n">
        <v>5</v>
      </c>
      <c r="B9" s="27" t="s">
        <v>105</v>
      </c>
      <c r="C9" s="14" t="s">
        <v>99</v>
      </c>
      <c r="D9" s="28" t="str">
        <f aca="false">IF(C9=E9,"correct","try again")</f>
        <v>try again</v>
      </c>
      <c r="E9" s="29" t="s">
        <v>103</v>
      </c>
    </row>
    <row r="10" customFormat="false" ht="15" hidden="false" customHeight="false" outlineLevel="0" collapsed="false">
      <c r="A10" s="26" t="n">
        <v>6</v>
      </c>
      <c r="B10" s="27" t="s">
        <v>106</v>
      </c>
      <c r="C10" s="14" t="s">
        <v>99</v>
      </c>
      <c r="D10" s="28" t="str">
        <f aca="false">IF(C10=E10,"correct","try again")</f>
        <v>try again</v>
      </c>
      <c r="E10" s="29" t="s">
        <v>100</v>
      </c>
    </row>
    <row r="11" customFormat="false" ht="15" hidden="false" customHeight="false" outlineLevel="0" collapsed="false">
      <c r="A11" s="26" t="n">
        <v>7</v>
      </c>
      <c r="B11" s="27" t="s">
        <v>107</v>
      </c>
      <c r="C11" s="14" t="s">
        <v>99</v>
      </c>
      <c r="D11" s="28" t="str">
        <f aca="false">IF(C11=E11,"correct","try again")</f>
        <v>correct</v>
      </c>
      <c r="E11" s="29" t="s">
        <v>99</v>
      </c>
    </row>
    <row r="12" customFormat="false" ht="15" hidden="false" customHeight="false" outlineLevel="0" collapsed="false">
      <c r="A12" s="26" t="n">
        <v>8</v>
      </c>
      <c r="B12" s="27" t="s">
        <v>108</v>
      </c>
      <c r="C12" s="14" t="s">
        <v>99</v>
      </c>
      <c r="D12" s="28" t="str">
        <f aca="false">IF(C12=E12,"correct","try again")</f>
        <v>try again</v>
      </c>
      <c r="E12" s="29" t="s">
        <v>103</v>
      </c>
    </row>
    <row r="13" customFormat="false" ht="15" hidden="false" customHeight="false" outlineLevel="0" collapsed="false">
      <c r="A13" s="26" t="n">
        <v>9</v>
      </c>
      <c r="B13" s="27" t="s">
        <v>109</v>
      </c>
      <c r="C13" s="14" t="s">
        <v>99</v>
      </c>
      <c r="D13" s="28" t="str">
        <f aca="false">IF(C13=E13,"correct","try again")</f>
        <v>try again</v>
      </c>
      <c r="E13" s="29" t="s">
        <v>103</v>
      </c>
    </row>
    <row r="14" customFormat="false" ht="15" hidden="false" customHeight="false" outlineLevel="0" collapsed="false">
      <c r="A14" s="26" t="n">
        <v>10</v>
      </c>
      <c r="B14" s="27" t="s">
        <v>110</v>
      </c>
      <c r="C14" s="14" t="s">
        <v>99</v>
      </c>
      <c r="D14" s="28" t="str">
        <f aca="false">IF(C14=E14,"correct","try again")</f>
        <v>correct</v>
      </c>
      <c r="E14" s="29" t="s">
        <v>99</v>
      </c>
    </row>
    <row r="16" customFormat="false" ht="15" hidden="false" customHeight="false" outlineLevel="0" collapsed="false">
      <c r="B16" s="13" t="s">
        <v>111</v>
      </c>
      <c r="C16" s="30" t="n">
        <f aca="false">SUMPRODUCT(--(C5:C14=E5:E14))/10</f>
        <v>0.4</v>
      </c>
    </row>
    <row r="18" customFormat="false" ht="23.85" hidden="false" customHeight="true" outlineLevel="0" collapsed="false">
      <c r="A18" s="12" t="s">
        <v>112</v>
      </c>
      <c r="B18" s="12"/>
      <c r="C18" s="12"/>
      <c r="D18" s="12"/>
      <c r="E18" s="12"/>
    </row>
  </sheetData>
  <mergeCells count="3">
    <mergeCell ref="A1:E1"/>
    <mergeCell ref="A2:E2"/>
    <mergeCell ref="A18:E18"/>
  </mergeCells>
  <conditionalFormatting sqref="D5">
    <cfRule type="expression" priority="2" aboveAverage="0" equalAverage="0" bottom="0" percent="0" rank="0" text="" dxfId="0">
      <formula>$C5=$E5</formula>
    </cfRule>
    <cfRule type="expression" priority="3" aboveAverage="0" equalAverage="0" bottom="0" percent="0" rank="0" text="" dxfId="2">
      <formula>$C5&lt;&gt;$E5</formula>
    </cfRule>
  </conditionalFormatting>
  <conditionalFormatting sqref="D6">
    <cfRule type="expression" priority="4" aboveAverage="0" equalAverage="0" bottom="0" percent="0" rank="0" text="" dxfId="0">
      <formula>$C6=$E6</formula>
    </cfRule>
    <cfRule type="expression" priority="5" aboveAverage="0" equalAverage="0" bottom="0" percent="0" rank="0" text="" dxfId="2">
      <formula>$C6&lt;&gt;$E6</formula>
    </cfRule>
  </conditionalFormatting>
  <conditionalFormatting sqref="D7">
    <cfRule type="expression" priority="6" aboveAverage="0" equalAverage="0" bottom="0" percent="0" rank="0" text="" dxfId="0">
      <formula>$C7=$E7</formula>
    </cfRule>
    <cfRule type="expression" priority="7" aboveAverage="0" equalAverage="0" bottom="0" percent="0" rank="0" text="" dxfId="2">
      <formula>$C7&lt;&gt;$E7</formula>
    </cfRule>
  </conditionalFormatting>
  <conditionalFormatting sqref="D8">
    <cfRule type="expression" priority="8" aboveAverage="0" equalAverage="0" bottom="0" percent="0" rank="0" text="" dxfId="0">
      <formula>$C8=$E8</formula>
    </cfRule>
    <cfRule type="expression" priority="9" aboveAverage="0" equalAverage="0" bottom="0" percent="0" rank="0" text="" dxfId="2">
      <formula>$C8&lt;&gt;$E8</formula>
    </cfRule>
  </conditionalFormatting>
  <conditionalFormatting sqref="D9">
    <cfRule type="expression" priority="10" aboveAverage="0" equalAverage="0" bottom="0" percent="0" rank="0" text="" dxfId="0">
      <formula>$C9=$E9</formula>
    </cfRule>
    <cfRule type="expression" priority="11" aboveAverage="0" equalAverage="0" bottom="0" percent="0" rank="0" text="" dxfId="2">
      <formula>$C9&lt;&gt;$E9</formula>
    </cfRule>
  </conditionalFormatting>
  <conditionalFormatting sqref="D10">
    <cfRule type="expression" priority="12" aboveAverage="0" equalAverage="0" bottom="0" percent="0" rank="0" text="" dxfId="0">
      <formula>$C10=$E10</formula>
    </cfRule>
    <cfRule type="expression" priority="13" aboveAverage="0" equalAverage="0" bottom="0" percent="0" rank="0" text="" dxfId="2">
      <formula>$C10&lt;&gt;$E10</formula>
    </cfRule>
  </conditionalFormatting>
  <conditionalFormatting sqref="D11">
    <cfRule type="expression" priority="14" aboveAverage="0" equalAverage="0" bottom="0" percent="0" rank="0" text="" dxfId="0">
      <formula>$C11=$E11</formula>
    </cfRule>
    <cfRule type="expression" priority="15" aboveAverage="0" equalAverage="0" bottom="0" percent="0" rank="0" text="" dxfId="2">
      <formula>$C11&lt;&gt;$E11</formula>
    </cfRule>
  </conditionalFormatting>
  <conditionalFormatting sqref="D12">
    <cfRule type="expression" priority="16" aboveAverage="0" equalAverage="0" bottom="0" percent="0" rank="0" text="" dxfId="0">
      <formula>$C12=$E12</formula>
    </cfRule>
    <cfRule type="expression" priority="17" aboveAverage="0" equalAverage="0" bottom="0" percent="0" rank="0" text="" dxfId="2">
      <formula>$C12&lt;&gt;$E12</formula>
    </cfRule>
  </conditionalFormatting>
  <conditionalFormatting sqref="D13">
    <cfRule type="expression" priority="18" aboveAverage="0" equalAverage="0" bottom="0" percent="0" rank="0" text="" dxfId="0">
      <formula>$C13=$E13</formula>
    </cfRule>
    <cfRule type="expression" priority="19" aboveAverage="0" equalAverage="0" bottom="0" percent="0" rank="0" text="" dxfId="2">
      <formula>$C13&lt;&gt;$E13</formula>
    </cfRule>
  </conditionalFormatting>
  <conditionalFormatting sqref="D14">
    <cfRule type="expression" priority="20" aboveAverage="0" equalAverage="0" bottom="0" percent="0" rank="0" text="" dxfId="0">
      <formula>$C14=$E14</formula>
    </cfRule>
    <cfRule type="expression" priority="21" aboveAverage="0" equalAverage="0" bottom="0" percent="0" rank="0" text="" dxfId="2">
      <formula>$C14&lt;&gt;$E14</formula>
    </cfRule>
  </conditionalFormatting>
  <dataValidations count="10">
    <dataValidation allowBlank="false" errorStyle="stop" operator="between" showDropDown="false" showErrorMessage="false" showInputMessage="false" sqref="C5" type="list">
      <formula1>"LLM,Code,DB"</formula1>
      <formula2>0</formula2>
    </dataValidation>
    <dataValidation allowBlank="false" errorStyle="stop" operator="between" showDropDown="false" showErrorMessage="false" showInputMessage="false" sqref="C6" type="list">
      <formula1>"LLM,Code,DB"</formula1>
      <formula2>0</formula2>
    </dataValidation>
    <dataValidation allowBlank="false" errorStyle="stop" operator="between" showDropDown="false" showErrorMessage="false" showInputMessage="false" sqref="C7" type="list">
      <formula1>"LLM,Code,DB"</formula1>
      <formula2>0</formula2>
    </dataValidation>
    <dataValidation allowBlank="false" errorStyle="stop" operator="between" showDropDown="false" showErrorMessage="false" showInputMessage="false" sqref="C8" type="list">
      <formula1>"LLM,Code,DB"</formula1>
      <formula2>0</formula2>
    </dataValidation>
    <dataValidation allowBlank="false" errorStyle="stop" operator="between" showDropDown="false" showErrorMessage="false" showInputMessage="false" sqref="C9" type="list">
      <formula1>"LLM,Code,DB"</formula1>
      <formula2>0</formula2>
    </dataValidation>
    <dataValidation allowBlank="false" errorStyle="stop" operator="between" showDropDown="false" showErrorMessage="false" showInputMessage="false" sqref="C10" type="list">
      <formula1>"LLM,Code,DB"</formula1>
      <formula2>0</formula2>
    </dataValidation>
    <dataValidation allowBlank="false" errorStyle="stop" operator="between" showDropDown="false" showErrorMessage="false" showInputMessage="false" sqref="C11" type="list">
      <formula1>"LLM,Code,DB"</formula1>
      <formula2>0</formula2>
    </dataValidation>
    <dataValidation allowBlank="false" errorStyle="stop" operator="between" showDropDown="false" showErrorMessage="false" showInputMessage="false" sqref="C12" type="list">
      <formula1>"LLM,Code,DB"</formula1>
      <formula2>0</formula2>
    </dataValidation>
    <dataValidation allowBlank="false" errorStyle="stop" operator="between" showDropDown="false" showErrorMessage="false" showInputMessage="false" sqref="C13" type="list">
      <formula1>"LLM,Code,DB"</formula1>
      <formula2>0</formula2>
    </dataValidation>
    <dataValidation allowBlank="false" errorStyle="stop" operator="between" showDropDown="false" showErrorMessage="false" showInputMessage="false" sqref="C14" type="list">
      <formula1>"LLM,Code,DB"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4"/>
    <col collapsed="false" customWidth="true" hidden="false" outlineLevel="0" max="6" min="5" style="0" width="16"/>
  </cols>
  <sheetData>
    <row r="1" customFormat="false" ht="30" hidden="false" customHeight="true" outlineLevel="0" collapsed="false">
      <c r="A1" s="1" t="s">
        <v>113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114</v>
      </c>
      <c r="B2" s="2"/>
      <c r="C2" s="2"/>
      <c r="D2" s="2"/>
      <c r="E2" s="2"/>
      <c r="F2" s="2"/>
    </row>
    <row r="3" customFormat="false" ht="15" hidden="false" customHeight="false" outlineLevel="0" collapsed="false">
      <c r="E3" s="3" t="s">
        <v>50</v>
      </c>
      <c r="F3" s="3" t="s">
        <v>115</v>
      </c>
    </row>
    <row r="4" customFormat="false" ht="15" hidden="false" customHeight="false" outlineLevel="0" collapsed="false">
      <c r="B4" s="13" t="s">
        <v>116</v>
      </c>
      <c r="C4" s="14" t="n">
        <v>2</v>
      </c>
      <c r="E4" s="17" t="s">
        <v>55</v>
      </c>
      <c r="F4" s="18" t="n">
        <v>2.4</v>
      </c>
    </row>
    <row r="5" customFormat="false" ht="15" hidden="false" customHeight="false" outlineLevel="0" collapsed="false">
      <c r="B5" s="13" t="s">
        <v>117</v>
      </c>
      <c r="C5" s="14" t="n">
        <v>1</v>
      </c>
      <c r="E5" s="17" t="s">
        <v>54</v>
      </c>
      <c r="F5" s="18" t="n">
        <v>9</v>
      </c>
    </row>
    <row r="6" customFormat="false" ht="15" hidden="false" customHeight="false" outlineLevel="0" collapsed="false">
      <c r="B6" s="13" t="s">
        <v>118</v>
      </c>
      <c r="C6" s="14" t="n">
        <v>6</v>
      </c>
      <c r="E6" s="17" t="s">
        <v>58</v>
      </c>
      <c r="F6" s="18" t="n">
        <v>45</v>
      </c>
    </row>
    <row r="7" customFormat="false" ht="15" hidden="false" customHeight="false" outlineLevel="0" collapsed="false">
      <c r="B7" s="13" t="s">
        <v>119</v>
      </c>
      <c r="C7" s="14" t="n">
        <v>1000</v>
      </c>
      <c r="E7" s="19" t="s">
        <v>60</v>
      </c>
    </row>
    <row r="8" customFormat="false" ht="15" hidden="false" customHeight="false" outlineLevel="0" collapsed="false">
      <c r="B8" s="13" t="s">
        <v>53</v>
      </c>
      <c r="C8" s="14" t="s">
        <v>54</v>
      </c>
    </row>
    <row r="10" customFormat="false" ht="15" hidden="false" customHeight="false" outlineLevel="0" collapsed="false">
      <c r="B10" s="13" t="s">
        <v>120</v>
      </c>
      <c r="C10" s="20" t="n">
        <f aca="false">C4*(1+C5)+1</f>
        <v>5</v>
      </c>
    </row>
    <row r="11" customFormat="false" ht="15" hidden="false" customHeight="false" outlineLevel="0" collapsed="false">
      <c r="B11" s="13" t="s">
        <v>121</v>
      </c>
      <c r="C11" s="15" t="str">
        <f aca="false">IF(C10&gt;C6,"YES — guard stops the run","no")</f>
        <v>no</v>
      </c>
    </row>
    <row r="12" customFormat="false" ht="15" hidden="false" customHeight="false" outlineLevel="0" collapsed="false">
      <c r="B12" s="13" t="s">
        <v>122</v>
      </c>
      <c r="C12" s="20" t="n">
        <f aca="false">MIN(C10,C6)</f>
        <v>5</v>
      </c>
    </row>
    <row r="13" customFormat="false" ht="15" hidden="false" customHeight="false" outlineLevel="0" collapsed="false">
      <c r="B13" s="13" t="s">
        <v>123</v>
      </c>
      <c r="C13" s="21" t="n">
        <f aca="false">C12*C7/1000000*VLOOKUP(C8,$E$4:$F$6,2,0)*1000</f>
        <v>45</v>
      </c>
    </row>
    <row r="15" customFormat="false" ht="23.85" hidden="false" customHeight="true" outlineLevel="0" collapsed="false">
      <c r="A15" s="12" t="s">
        <v>124</v>
      </c>
      <c r="B15" s="12"/>
      <c r="C15" s="12"/>
      <c r="D15" s="12"/>
      <c r="E15" s="12"/>
      <c r="F15" s="12"/>
    </row>
  </sheetData>
  <mergeCells count="3">
    <mergeCell ref="A1:F1"/>
    <mergeCell ref="A2:F2"/>
    <mergeCell ref="A15:F15"/>
  </mergeCells>
  <conditionalFormatting sqref="C11">
    <cfRule type="expression" priority="2" aboveAverage="0" equalAverage="0" bottom="0" percent="0" rank="0" text="" dxfId="2">
      <formula>$C$10&gt;$C$6</formula>
    </cfRule>
    <cfRule type="expression" priority="3" aboveAverage="0" equalAverage="0" bottom="0" percent="0" rank="0" text="" dxfId="0">
      <formula>$C$10&lt;=$C$6</formula>
    </cfRule>
  </conditionalFormatting>
  <dataValidations count="5">
    <dataValidation allowBlank="false" errorStyle="stop" operator="between" showDropDown="false" showErrorMessage="false" showInputMessage="false" sqref="C4" type="list">
      <formula1>"1,2,3,4"</formula1>
      <formula2>0</formula2>
    </dataValidation>
    <dataValidation allowBlank="false" errorStyle="stop" operator="between" showDropDown="false" showErrorMessage="false" showInputMessage="false" sqref="C5" type="list">
      <formula1>"0,1,2,3"</formula1>
      <formula2>0</formula2>
    </dataValidation>
    <dataValidation allowBlank="false" errorStyle="stop" operator="between" showDropDown="false" showErrorMessage="false" showInputMessage="false" sqref="C6" type="list">
      <formula1>"3,4,6,8,10"</formula1>
      <formula2>0</formula2>
    </dataValidation>
    <dataValidation allowBlank="false" errorStyle="stop" operator="between" showDropDown="false" showErrorMessage="false" showInputMessage="false" sqref="C7" type="list">
      <formula1>"500,1000,2000"</formula1>
      <formula2>0</formula2>
    </dataValidation>
    <dataValidation allowBlank="false" errorStyle="stop" operator="between" showDropDown="false" showErrorMessage="false" showInputMessage="false" sqref="C8" type="list">
      <formula1>"Haiku,Sonnet,Opus"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5" min="5" style="0" width="30"/>
  </cols>
  <sheetData>
    <row r="1" customFormat="false" ht="30" hidden="false" customHeight="true" outlineLevel="0" collapsed="false">
      <c r="A1" s="1" t="s">
        <v>27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125</v>
      </c>
      <c r="B2" s="2"/>
      <c r="C2" s="2"/>
      <c r="D2" s="2"/>
      <c r="E2" s="2"/>
    </row>
    <row r="4" customFormat="false" ht="15" hidden="false" customHeight="false" outlineLevel="0" collapsed="false">
      <c r="B4" s="27" t="s">
        <v>126</v>
      </c>
      <c r="C4" s="14" t="s">
        <v>41</v>
      </c>
    </row>
    <row r="5" customFormat="false" ht="15" hidden="false" customHeight="false" outlineLevel="0" collapsed="false">
      <c r="B5" s="27" t="s">
        <v>127</v>
      </c>
      <c r="C5" s="14" t="s">
        <v>41</v>
      </c>
    </row>
    <row r="6" customFormat="false" ht="15" hidden="false" customHeight="false" outlineLevel="0" collapsed="false">
      <c r="B6" s="27" t="s">
        <v>128</v>
      </c>
      <c r="C6" s="14" t="s">
        <v>43</v>
      </c>
    </row>
    <row r="7" customFormat="false" ht="15" hidden="false" customHeight="false" outlineLevel="0" collapsed="false">
      <c r="B7" s="27" t="s">
        <v>129</v>
      </c>
      <c r="C7" s="14" t="s">
        <v>41</v>
      </c>
    </row>
    <row r="8" customFormat="false" ht="15" hidden="false" customHeight="false" outlineLevel="0" collapsed="false">
      <c r="B8" s="27" t="s">
        <v>130</v>
      </c>
      <c r="C8" s="14" t="s">
        <v>43</v>
      </c>
    </row>
    <row r="9" customFormat="false" ht="15" hidden="false" customHeight="false" outlineLevel="0" collapsed="false">
      <c r="B9" s="27" t="s">
        <v>131</v>
      </c>
      <c r="C9" s="14" t="s">
        <v>43</v>
      </c>
    </row>
    <row r="10" customFormat="false" ht="15" hidden="false" customHeight="false" outlineLevel="0" collapsed="false">
      <c r="B10" s="27" t="s">
        <v>132</v>
      </c>
      <c r="C10" s="14" t="s">
        <v>41</v>
      </c>
    </row>
    <row r="11" customFormat="false" ht="15" hidden="false" customHeight="false" outlineLevel="0" collapsed="false">
      <c r="B11" s="27" t="s">
        <v>133</v>
      </c>
      <c r="C11" s="14" t="s">
        <v>41</v>
      </c>
    </row>
    <row r="13" customFormat="false" ht="15" hidden="false" customHeight="false" outlineLevel="0" collapsed="false">
      <c r="B13" s="13" t="s">
        <v>134</v>
      </c>
      <c r="C13" s="30" t="n">
        <f aca="false">COUNTIF(C4:C11,"Yes")/8</f>
        <v>0.625</v>
      </c>
    </row>
    <row r="14" customFormat="false" ht="15" hidden="false" customHeight="false" outlineLevel="0" collapsed="false">
      <c r="B14" s="13" t="s">
        <v>45</v>
      </c>
      <c r="C14" s="15" t="str">
        <f aca="false">IF(COUNTIF(C4:C11,"Yes")/8&gt;=0.85,"Ship-ready",IF(COUNTIF(C4:C11,"Yes")/8&gt;=0.6,"Tighten it","Redesign the tool"))</f>
        <v>Tighten it</v>
      </c>
    </row>
    <row r="16" customFormat="false" ht="23.85" hidden="false" customHeight="true" outlineLevel="0" collapsed="false">
      <c r="A16" s="12" t="s">
        <v>135</v>
      </c>
      <c r="B16" s="12"/>
      <c r="C16" s="12"/>
      <c r="D16" s="12"/>
      <c r="E16" s="12"/>
    </row>
  </sheetData>
  <mergeCells count="3">
    <mergeCell ref="A1:E1"/>
    <mergeCell ref="A2:E2"/>
    <mergeCell ref="A16:E16"/>
  </mergeCells>
  <conditionalFormatting sqref="C4">
    <cfRule type="expression" priority="2" aboveAverage="0" equalAverage="0" bottom="0" percent="0" rank="0" text="" dxfId="0">
      <formula>$C4="Yes"</formula>
    </cfRule>
    <cfRule type="expression" priority="3" aboveAverage="0" equalAverage="0" bottom="0" percent="0" rank="0" text="" dxfId="2">
      <formula>$C4="No"</formula>
    </cfRule>
  </conditionalFormatting>
  <conditionalFormatting sqref="C5">
    <cfRule type="expression" priority="4" aboveAverage="0" equalAverage="0" bottom="0" percent="0" rank="0" text="" dxfId="0">
      <formula>$C5="Yes"</formula>
    </cfRule>
    <cfRule type="expression" priority="5" aboveAverage="0" equalAverage="0" bottom="0" percent="0" rank="0" text="" dxfId="2">
      <formula>$C5="No"</formula>
    </cfRule>
  </conditionalFormatting>
  <conditionalFormatting sqref="C6">
    <cfRule type="expression" priority="6" aboveAverage="0" equalAverage="0" bottom="0" percent="0" rank="0" text="" dxfId="0">
      <formula>$C6="Yes"</formula>
    </cfRule>
    <cfRule type="expression" priority="7" aboveAverage="0" equalAverage="0" bottom="0" percent="0" rank="0" text="" dxfId="2">
      <formula>$C6="No"</formula>
    </cfRule>
  </conditionalFormatting>
  <conditionalFormatting sqref="C7">
    <cfRule type="expression" priority="8" aboveAverage="0" equalAverage="0" bottom="0" percent="0" rank="0" text="" dxfId="0">
      <formula>$C7="Yes"</formula>
    </cfRule>
    <cfRule type="expression" priority="9" aboveAverage="0" equalAverage="0" bottom="0" percent="0" rank="0" text="" dxfId="2">
      <formula>$C7="No"</formula>
    </cfRule>
  </conditionalFormatting>
  <conditionalFormatting sqref="C8">
    <cfRule type="expression" priority="10" aboveAverage="0" equalAverage="0" bottom="0" percent="0" rank="0" text="" dxfId="0">
      <formula>$C8="Yes"</formula>
    </cfRule>
    <cfRule type="expression" priority="11" aboveAverage="0" equalAverage="0" bottom="0" percent="0" rank="0" text="" dxfId="2">
      <formula>$C8="No"</formula>
    </cfRule>
  </conditionalFormatting>
  <conditionalFormatting sqref="C9">
    <cfRule type="expression" priority="12" aboveAverage="0" equalAverage="0" bottom="0" percent="0" rank="0" text="" dxfId="0">
      <formula>$C9="Yes"</formula>
    </cfRule>
    <cfRule type="expression" priority="13" aboveAverage="0" equalAverage="0" bottom="0" percent="0" rank="0" text="" dxfId="2">
      <formula>$C9="No"</formula>
    </cfRule>
  </conditionalFormatting>
  <conditionalFormatting sqref="C10">
    <cfRule type="expression" priority="14" aboveAverage="0" equalAverage="0" bottom="0" percent="0" rank="0" text="" dxfId="0">
      <formula>$C10="Yes"</formula>
    </cfRule>
    <cfRule type="expression" priority="15" aboveAverage="0" equalAverage="0" bottom="0" percent="0" rank="0" text="" dxfId="2">
      <formula>$C10="No"</formula>
    </cfRule>
  </conditionalFormatting>
  <conditionalFormatting sqref="C11">
    <cfRule type="expression" priority="16" aboveAverage="0" equalAverage="0" bottom="0" percent="0" rank="0" text="" dxfId="0">
      <formula>$C11="Yes"</formula>
    </cfRule>
    <cfRule type="expression" priority="17" aboveAverage="0" equalAverage="0" bottom="0" percent="0" rank="0" text="" dxfId="2">
      <formula>$C11="No"</formula>
    </cfRule>
  </conditionalFormatting>
  <conditionalFormatting sqref="C14">
    <cfRule type="expression" priority="18" aboveAverage="0" equalAverage="0" bottom="0" percent="0" rank="0" text="" dxfId="0">
      <formula>COUNTIF(C4:C11,"Yes")/8&gt;=0.85</formula>
    </cfRule>
    <cfRule type="expression" priority="19" aboveAverage="0" equalAverage="0" bottom="0" percent="0" rank="0" text="" dxfId="1">
      <formula>AND(COUNTIF(C4:C11,"Yes")/8&gt;=0.6,COUNTIF(C4:C11,"Yes")/8&lt;0.85)</formula>
    </cfRule>
    <cfRule type="expression" priority="20" aboveAverage="0" equalAverage="0" bottom="0" percent="0" rank="0" text="" dxfId="2">
      <formula>COUNTIF(C4:C11,"Yes")/8&lt;0.6</formula>
    </cfRule>
  </conditionalFormatting>
  <dataValidations count="8">
    <dataValidation allowBlank="false" errorStyle="stop" operator="between" showDropDown="false" showErrorMessage="false" showInputMessage="false" sqref="C4" type="list">
      <formula1>"Yes,No"</formula1>
      <formula2>0</formula2>
    </dataValidation>
    <dataValidation allowBlank="false" errorStyle="stop" operator="between" showDropDown="false" showErrorMessage="false" showInputMessage="false" sqref="C5" type="list">
      <formula1>"Yes,No"</formula1>
      <formula2>0</formula2>
    </dataValidation>
    <dataValidation allowBlank="false" errorStyle="stop" operator="between" showDropDown="false" showErrorMessage="false" showInputMessage="false" sqref="C6" type="list">
      <formula1>"Yes,No"</formula1>
      <formula2>0</formula2>
    </dataValidation>
    <dataValidation allowBlank="false" errorStyle="stop" operator="between" showDropDown="false" showErrorMessage="false" showInputMessage="false" sqref="C7" type="list">
      <formula1>"Yes,No"</formula1>
      <formula2>0</formula2>
    </dataValidation>
    <dataValidation allowBlank="false" errorStyle="stop" operator="between" showDropDown="false" showErrorMessage="false" showInputMessage="false" sqref="C8" type="list">
      <formula1>"Yes,No"</formula1>
      <formula2>0</formula2>
    </dataValidation>
    <dataValidation allowBlank="false" errorStyle="stop" operator="between" showDropDown="false" showErrorMessage="false" showInputMessage="false" sqref="C9" type="list">
      <formula1>"Yes,No"</formula1>
      <formula2>0</formula2>
    </dataValidation>
    <dataValidation allowBlank="false" errorStyle="stop" operator="between" showDropDown="false" showErrorMessage="false" showInputMessage="false" sqref="C10" type="list">
      <formula1>"Yes,No"</formula1>
      <formula2>0</formula2>
    </dataValidation>
    <dataValidation allowBlank="false" errorStyle="stop" operator="between" showDropDown="false" showErrorMessage="false" showInputMessage="false" sqref="C11" type="list">
      <formula1>"Yes,No"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4"/>
    <col collapsed="false" customWidth="true" hidden="false" outlineLevel="0" max="4" min="4" style="0" width="34"/>
    <col collapsed="false" customWidth="true" hidden="false" outlineLevel="0" max="5" min="5" style="0" width="40"/>
  </cols>
  <sheetData>
    <row r="1" customFormat="false" ht="30" hidden="false" customHeight="true" outlineLevel="0" collapsed="false">
      <c r="A1" s="1" t="s">
        <v>31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136</v>
      </c>
      <c r="B2" s="2"/>
      <c r="C2" s="2"/>
      <c r="D2" s="2"/>
      <c r="E2" s="2"/>
    </row>
    <row r="3" customFormat="false" ht="15" hidden="false" customHeight="false" outlineLevel="0" collapsed="false">
      <c r="E3" s="3" t="s">
        <v>137</v>
      </c>
      <c r="F3" s="3" t="s">
        <v>138</v>
      </c>
      <c r="G3" s="3" t="s">
        <v>139</v>
      </c>
    </row>
    <row r="4" customFormat="false" ht="15" hidden="false" customHeight="false" outlineLevel="0" collapsed="false">
      <c r="E4" s="31" t="s">
        <v>140</v>
      </c>
      <c r="F4" s="31" t="s">
        <v>141</v>
      </c>
      <c r="G4" s="31" t="s">
        <v>142</v>
      </c>
    </row>
    <row r="5" customFormat="false" ht="15" hidden="false" customHeight="false" outlineLevel="0" collapsed="false">
      <c r="B5" s="13" t="s">
        <v>143</v>
      </c>
      <c r="C5" s="14" t="s">
        <v>140</v>
      </c>
      <c r="E5" s="31" t="s">
        <v>144</v>
      </c>
      <c r="F5" s="31" t="s">
        <v>145</v>
      </c>
      <c r="G5" s="31" t="s">
        <v>146</v>
      </c>
    </row>
    <row r="6" customFormat="false" ht="15" hidden="false" customHeight="false" outlineLevel="0" collapsed="false">
      <c r="E6" s="31" t="s">
        <v>147</v>
      </c>
      <c r="F6" s="31" t="s">
        <v>148</v>
      </c>
      <c r="G6" s="31" t="s">
        <v>149</v>
      </c>
    </row>
    <row r="7" customFormat="false" ht="15" hidden="false" customHeight="false" outlineLevel="0" collapsed="false">
      <c r="B7" s="13" t="s">
        <v>150</v>
      </c>
      <c r="C7" s="32" t="str">
        <f aca="false">VLOOKUP(C5,$E$4:$G$9,2,0)</f>
        <v>Infinite loop</v>
      </c>
      <c r="E7" s="31" t="s">
        <v>151</v>
      </c>
      <c r="F7" s="31" t="s">
        <v>152</v>
      </c>
      <c r="G7" s="31" t="s">
        <v>153</v>
      </c>
    </row>
    <row r="8" customFormat="false" ht="27.75" hidden="false" customHeight="true" outlineLevel="0" collapsed="false">
      <c r="B8" s="13" t="s">
        <v>154</v>
      </c>
      <c r="C8" s="33" t="str">
        <f aca="false">VLOOKUP(C5,$E$4:$G$9,3,0)</f>
        <v>Loop guard (max_iters), never while True</v>
      </c>
      <c r="E8" s="31" t="s">
        <v>155</v>
      </c>
      <c r="F8" s="31" t="s">
        <v>156</v>
      </c>
      <c r="G8" s="31" t="s">
        <v>157</v>
      </c>
    </row>
    <row r="9" customFormat="false" ht="15" hidden="false" customHeight="false" outlineLevel="0" collapsed="false">
      <c r="E9" s="31" t="s">
        <v>158</v>
      </c>
      <c r="F9" s="31" t="s">
        <v>159</v>
      </c>
      <c r="G9" s="31" t="s">
        <v>160</v>
      </c>
    </row>
    <row r="10" customFormat="false" ht="15" hidden="false" customHeight="true" outlineLevel="0" collapsed="false">
      <c r="A10" s="12" t="s">
        <v>161</v>
      </c>
      <c r="B10" s="12"/>
      <c r="C10" s="12"/>
      <c r="D10" s="12"/>
      <c r="E10" s="12"/>
    </row>
  </sheetData>
  <mergeCells count="3">
    <mergeCell ref="A1:E1"/>
    <mergeCell ref="A2:E2"/>
    <mergeCell ref="A10:E10"/>
  </mergeCells>
  <dataValidations count="1">
    <dataValidation allowBlank="false" errorStyle="stop" operator="between" showDropDown="false" showErrorMessage="false" showInputMessage="false" sqref="C5" type="list">
      <formula1>$E$4:$E$9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4" min="4" style="0" width="4"/>
    <col collapsed="false" customWidth="true" hidden="false" outlineLevel="0" max="5" min="5" style="0" width="40"/>
  </cols>
  <sheetData>
    <row r="1" customFormat="false" ht="30" hidden="false" customHeight="true" outlineLevel="0" collapsed="false">
      <c r="A1" s="1" t="s">
        <v>162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163</v>
      </c>
      <c r="B2" s="2"/>
      <c r="C2" s="2"/>
      <c r="D2" s="2"/>
      <c r="E2" s="2"/>
    </row>
    <row r="4" customFormat="false" ht="15" hidden="false" customHeight="false" outlineLevel="0" collapsed="false">
      <c r="B4" s="13" t="s">
        <v>164</v>
      </c>
      <c r="C4" s="14" t="s">
        <v>165</v>
      </c>
    </row>
    <row r="5" customFormat="false" ht="15" hidden="false" customHeight="false" outlineLevel="0" collapsed="false">
      <c r="B5" s="13" t="s">
        <v>166</v>
      </c>
      <c r="C5" s="14" t="s">
        <v>43</v>
      </c>
    </row>
    <row r="6" customFormat="false" ht="15" hidden="false" customHeight="false" outlineLevel="0" collapsed="false">
      <c r="B6" s="13" t="s">
        <v>167</v>
      </c>
      <c r="C6" s="14" t="s">
        <v>41</v>
      </c>
    </row>
    <row r="7" customFormat="false" ht="15" hidden="false" customHeight="false" outlineLevel="0" collapsed="false">
      <c r="B7" s="13" t="s">
        <v>168</v>
      </c>
      <c r="C7" s="14" t="s">
        <v>43</v>
      </c>
    </row>
    <row r="9" customFormat="false" ht="15" hidden="false" customHeight="false" outlineLevel="0" collapsed="false">
      <c r="B9" s="13" t="s">
        <v>45</v>
      </c>
      <c r="C9" s="15" t="str">
        <f aca="false">IF(AND(OR(C4="Spends money",C4="Irreversible"),C7="No"),"BLOCK — add a human checkpoint",IF(AND(C5="Yes",C6="No"),"BLOCK — attach a PII guardrail",IF(C4="Read-only","SHIP","ADD CONTROLS")))</f>
        <v>SHIP</v>
      </c>
    </row>
    <row r="11" customFormat="false" ht="23.85" hidden="false" customHeight="true" outlineLevel="0" collapsed="false">
      <c r="A11" s="12" t="s">
        <v>169</v>
      </c>
      <c r="B11" s="12"/>
      <c r="C11" s="12"/>
      <c r="D11" s="12"/>
      <c r="E11" s="12"/>
    </row>
  </sheetData>
  <mergeCells count="3">
    <mergeCell ref="A1:E1"/>
    <mergeCell ref="A2:E2"/>
    <mergeCell ref="A11:E11"/>
  </mergeCells>
  <conditionalFormatting sqref="C9">
    <cfRule type="expression" priority="2" aboveAverage="0" equalAverage="0" bottom="0" percent="0" rank="0" text="" dxfId="0">
      <formula>LEFT($C$9,4)="SHIP"</formula>
    </cfRule>
    <cfRule type="expression" priority="3" aboveAverage="0" equalAverage="0" bottom="0" percent="0" rank="0" text="" dxfId="1">
      <formula>LEFT($C$9,3)="ADD"</formula>
    </cfRule>
    <cfRule type="expression" priority="4" aboveAverage="0" equalAverage="0" bottom="0" percent="0" rank="0" text="" dxfId="2">
      <formula>LEFT($C$9,5)="BLOCK"</formula>
    </cfRule>
  </conditionalFormatting>
  <dataValidations count="4">
    <dataValidation allowBlank="false" errorStyle="stop" operator="between" showDropDown="false" showErrorMessage="false" showInputMessage="false" sqref="C4" type="list">
      <formula1>"Read-only,Writes data,Spends money,Irreversible"</formula1>
      <formula2>0</formula2>
    </dataValidation>
    <dataValidation allowBlank="false" errorStyle="stop" operator="between" showDropDown="false" showErrorMessage="false" showInputMessage="false" sqref="C5" type="list">
      <formula1>"Yes,No"</formula1>
      <formula2>0</formula2>
    </dataValidation>
    <dataValidation allowBlank="false" errorStyle="stop" operator="between" showDropDown="false" showErrorMessage="false" showInputMessage="false" sqref="C6" type="list">
      <formula1>"Yes,No"</formula1>
      <formula2>0</formula2>
    </dataValidation>
    <dataValidation allowBlank="false" errorStyle="stop" operator="between" showDropDown="false" showErrorMessage="false" showInputMessage="false" sqref="C7" type="list">
      <formula1>"Yes,No"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2026-05-29T04:20:48Z</dcterms:created>
  <dc:creator>openpyxl</dc:creator>
  <dc:description/>
  <dc:language>en-US</dc:language>
  <cp:lastModifiedBy/>
  <dcterms:modified xsi:type="dcterms:W3CDTF">2026-05-29T04:20:48Z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