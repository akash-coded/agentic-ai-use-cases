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dex" sheetId="1" state="visible" r:id="rId3"/>
    <sheet name="1 Which client" sheetId="2" state="visible" r:id="rId4"/>
    <sheet name="2 Which door" sheetId="3" state="visible" r:id="rId5"/>
    <sheet name="3 Auth" sheetId="4" state="visible" r:id="rId6"/>
    <sheet name="4 Readiness" sheetId="5" state="visible" r:id="rId7"/>
    <sheet name="5 Will it run" sheetId="6" state="visible" r:id="rId8"/>
    <sheet name="6 Response map" sheetId="7" state="visible" r:id="rId9"/>
    <sheet name="7 Config fit" sheetId="8" state="visible" r:id="rId10"/>
    <sheet name="8 Error decoder" sheetId="9" state="visible" r:id="rId11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<sst xmlns="http://schemas.openxmlformats.org/spreadsheetml/2006/main" count="216" uniqueCount="182">
  <si>
    <t xml:space="preserve">Pre-Wave 5 - Bedrock Onboarding · Interactive Demos</t>
  </si>
  <si>
    <t xml:space="preserve">Pick any value from a yellow dropdown. Everything recalculates. No typing needed.</t>
  </si>
  <si>
    <t xml:space="preserve">#</t>
  </si>
  <si>
    <t xml:space="preserve">Demo (tab)</t>
  </si>
  <si>
    <t xml:space="preserve">What it lets you decide</t>
  </si>
  <si>
    <t xml:space="preserve">Maps to</t>
  </si>
  <si>
    <t xml:space="preserve">1</t>
  </si>
  <si>
    <t xml:space="preserve">Which client?</t>
  </si>
  <si>
    <t xml:space="preserve">bedrock (manage) vs bedrock-runtime (run)</t>
  </si>
  <si>
    <t xml:space="preserve">Two planes</t>
  </si>
  <si>
    <t xml:space="preserve">2</t>
  </si>
  <si>
    <t xml:space="preserve">Which door?</t>
  </si>
  <si>
    <t xml:space="preserve">Console / CLI / SDK for the task at hand</t>
  </si>
  <si>
    <t xml:space="preserve">Three doors</t>
  </si>
  <si>
    <t xml:space="preserve">3</t>
  </si>
  <si>
    <t xml:space="preserve">Auth picker</t>
  </si>
  <si>
    <t xml:space="preserve">API key / bearer token / IAM role / SSO</t>
  </si>
  <si>
    <t xml:space="preserve">Auth ladder</t>
  </si>
  <si>
    <t xml:space="preserve">4</t>
  </si>
  <si>
    <t xml:space="preserve">Setup readiness</t>
  </si>
  <si>
    <t xml:space="preserve">Are you ready for Day 5 yet?</t>
  </si>
  <si>
    <t xml:space="preserve">Pre-flight</t>
  </si>
  <si>
    <t xml:space="preserve">5</t>
  </si>
  <si>
    <t xml:space="preserve">Will my call work?</t>
  </si>
  <si>
    <t xml:space="preserve">Predict success / fail before you run it</t>
  </si>
  <si>
    <t xml:space="preserve">Profile + quota</t>
  </si>
  <si>
    <t xml:space="preserve">6</t>
  </si>
  <si>
    <t xml:space="preserve">Response map</t>
  </si>
  <si>
    <t xml:space="preserve">The exact path to each field in a reply</t>
  </si>
  <si>
    <t xml:space="preserve">Hello v1</t>
  </si>
  <si>
    <t xml:space="preserve">7</t>
  </si>
  <si>
    <t xml:space="preserve">Config fit</t>
  </si>
  <si>
    <t xml:space="preserve">Does your temperature + maxTokens fit the task?</t>
  </si>
  <si>
    <t xml:space="preserve">inferenceConfig</t>
  </si>
  <si>
    <t xml:space="preserve">8</t>
  </si>
  <si>
    <t xml:space="preserve">Error decoder</t>
  </si>
  <si>
    <t xml:space="preserve">Plain cause + fix for the error you see</t>
  </si>
  <si>
    <t xml:space="preserve">Common errors</t>
  </si>
  <si>
    <t xml:space="preserve">Yellow = an input you change. Bordered cells beside/below it = live results. Lookup tables sit to the right of each tab; pricing/quota figures are illustrative - confirm current values in your own account.</t>
  </si>
  <si>
    <t xml:space="preserve">Which client do I need?</t>
  </si>
  <si>
    <t xml:space="preserve">bedrock manages models. bedrock-runtime runs them. Pick a task and see which one (and the method).</t>
  </si>
  <si>
    <t xml:space="preserve">Task</t>
  </si>
  <si>
    <t xml:space="preserve">Client</t>
  </si>
  <si>
    <t xml:space="preserve">Method</t>
  </si>
  <si>
    <t xml:space="preserve">Pick a task</t>
  </si>
  <si>
    <t xml:space="preserve">Run a prompt and get a reply</t>
  </si>
  <si>
    <t xml:space="preserve">List the available models</t>
  </si>
  <si>
    <t xml:space="preserve">bedrock</t>
  </si>
  <si>
    <t xml:space="preserve">list_foundation_models()</t>
  </si>
  <si>
    <t xml:space="preserve">bedrock-runtime</t>
  </si>
  <si>
    <t xml:space="preserve">converse()</t>
  </si>
  <si>
    <t xml:space="preserve">Use this client</t>
  </si>
  <si>
    <t xml:space="preserve">Get one model's details</t>
  </si>
  <si>
    <t xml:space="preserve">get_foundation_model()</t>
  </si>
  <si>
    <t xml:space="preserve">Call this method</t>
  </si>
  <si>
    <t xml:space="preserve">Stream a reply token-by-token</t>
  </si>
  <si>
    <t xml:space="preserve">converse_stream()</t>
  </si>
  <si>
    <t xml:space="preserve">Send a provider-native request</t>
  </si>
  <si>
    <t xml:space="preserve">invoke_model()</t>
  </si>
  <si>
    <t xml:space="preserve">Create or manage a guardrail</t>
  </si>
  <si>
    <t xml:space="preserve">create_guardrail()</t>
  </si>
  <si>
    <t xml:space="preserve">Check a model's input modalities</t>
  </si>
  <si>
    <t xml:space="preserve">Manage a knowledge base</t>
  </si>
  <si>
    <t xml:space="preserve">(Agents / KB APIs)</t>
  </si>
  <si>
    <t xml:space="preserve">Memory hook: "bedrock" manages (list, describe, guardrails, KBs); "bedrock-runtime" runs (converse, stream, invoke). Mixing them up is the #1 beginner trip-up.</t>
  </si>
  <si>
    <t xml:space="preserve">Which door should I use?</t>
  </si>
  <si>
    <t xml:space="preserve">Console, CLI or SDK - depends on what you're doing and whether it must live in code.</t>
  </si>
  <si>
    <t xml:space="preserve">What are you doing?</t>
  </si>
  <si>
    <t xml:space="preserve">Exploring / comparing models</t>
  </si>
  <si>
    <t xml:space="preserve">Must it be repeatable in code?</t>
  </si>
  <si>
    <t xml:space="preserve">No</t>
  </si>
  <si>
    <t xml:space="preserve">Use this door</t>
  </si>
  <si>
    <t xml:space="preserve">Why</t>
  </si>
  <si>
    <t xml:space="preserve">All three reach the same Bedrock. Open with the Console to explore, drop to the CLI for a quick check, live in the SDK once you're building - which is where Day 5 takes you.</t>
  </si>
  <si>
    <t xml:space="preserve">How should I authenticate?</t>
  </si>
  <si>
    <t xml:space="preserve">Right method depends on where the code runs and whether a long-lived secret is acceptable.</t>
  </si>
  <si>
    <t xml:space="preserve">Where does this run?</t>
  </si>
  <si>
    <t xml:space="preserve">Local laptop</t>
  </si>
  <si>
    <t xml:space="preserve">Is a long-lived secret OK?</t>
  </si>
  <si>
    <t xml:space="preserve">Use this</t>
  </si>
  <si>
    <t xml:space="preserve">Watch out</t>
  </si>
  <si>
    <t xml:space="preserve">For class, the short-term key + AWS_BEARER_TOKEN_BEDROCK is enough. The ladder's bottom rung (IAM roles / SSO) is the production answer - no secret to leak.</t>
  </si>
  <si>
    <t xml:space="preserve">Setup readiness for Day 5</t>
  </si>
  <si>
    <t xml:space="preserve">Yes/No each item. Score, verdict and your next step update live.</t>
  </si>
  <si>
    <t xml:space="preserve">Virtual environment created AND selected as interpreter</t>
  </si>
  <si>
    <t xml:space="preserve">Yes</t>
  </si>
  <si>
    <t xml:space="preserve">boto3 installed inside that environment</t>
  </si>
  <si>
    <t xml:space="preserve">AWS_BEARER_TOKEN_BEDROCK set (or aws configure done)</t>
  </si>
  <si>
    <t xml:space="preserve">Region chosen (e.g. us-east-1)</t>
  </si>
  <si>
    <t xml:space="preserve">.env added to .gitignore</t>
  </si>
  <si>
    <t xml:space="preserve">Model access confirmed (Claude usage form accepted if using Claude)</t>
  </si>
  <si>
    <t xml:space="preserve">Ran Hello v0 - list models - successfully</t>
  </si>
  <si>
    <t xml:space="preserve">Ran Hello v1 - converse - and saw a reply</t>
  </si>
  <si>
    <t xml:space="preserve">Readiness</t>
  </si>
  <si>
    <t xml:space="preserve">Verdict</t>
  </si>
  <si>
    <t xml:space="preserve">Do this next</t>
  </si>
  <si>
    <t xml:space="preserve">"Do this next" points at your first unchecked item. When all eight are green, the Day 5 build is friction-free.</t>
  </si>
  <si>
    <t xml:space="preserve">The three things that actually decide it: profile prefix, maxTokens, and your account quota.</t>
  </si>
  <si>
    <t xml:space="preserve">Model family</t>
  </si>
  <si>
    <t xml:space="preserve">base id</t>
  </si>
  <si>
    <t xml:space="preserve">on-demand?</t>
  </si>
  <si>
    <t xml:space="preserve">Claude Haiku 4.5</t>
  </si>
  <si>
    <t xml:space="preserve">Claude Opus 4.7</t>
  </si>
  <si>
    <t xml:space="preserve">anthropic.claude-opus-4-7</t>
  </si>
  <si>
    <t xml:space="preserve">Inference-profile prefix used?</t>
  </si>
  <si>
    <t xml:space="preserve">Claude Sonnet 4.6</t>
  </si>
  <si>
    <t xml:space="preserve">anthropic.claude-sonnet-4-6</t>
  </si>
  <si>
    <t xml:space="preserve">maxTokens set?</t>
  </si>
  <si>
    <t xml:space="preserve">anthropic.claude-haiku-4-5</t>
  </si>
  <si>
    <t xml:space="preserve">Account quota seeded (not 0)?</t>
  </si>
  <si>
    <t xml:space="preserve">Amazon Nova 2 Lite</t>
  </si>
  <si>
    <t xml:space="preserve">amazon.nova-2-lite</t>
  </si>
  <si>
    <t xml:space="preserve">modelId you'd use</t>
  </si>
  <si>
    <t xml:space="preserve">Prediction</t>
  </si>
  <si>
    <t xml:space="preserve">Default shows the classic first-week mistake: a profile-only model called with the bare ID. Flip "prefix used?" to Yes and watch it pass. Set quota to No to see the throttling block you just lived through.</t>
  </si>
  <si>
    <t xml:space="preserve">Converse response map</t>
  </si>
  <si>
    <t xml:space="preserve">Pick what you want from a reply; get the exact Python path and what it returns.</t>
  </si>
  <si>
    <t xml:space="preserve">Want</t>
  </si>
  <si>
    <t xml:space="preserve">Python path</t>
  </si>
  <si>
    <t xml:space="preserve">returns</t>
  </si>
  <si>
    <t xml:space="preserve">I want...</t>
  </si>
  <si>
    <t xml:space="preserve">the text reply</t>
  </si>
  <si>
    <t xml:space="preserve">resp["output"]["message"]["content"][0]["text"]</t>
  </si>
  <si>
    <t xml:space="preserve">the model's text (a string)</t>
  </si>
  <si>
    <t xml:space="preserve">tokens used</t>
  </si>
  <si>
    <t xml:space="preserve">resp["usage"]</t>
  </si>
  <si>
    <t xml:space="preserve">{inputTokens, outputTokens, totalTokens}</t>
  </si>
  <si>
    <t xml:space="preserve">why it stopped</t>
  </si>
  <si>
    <t xml:space="preserve">resp["stopReason"]</t>
  </si>
  <si>
    <t xml:space="preserve">'end_turn' | 'max_tokens' | 'tool_use'</t>
  </si>
  <si>
    <t xml:space="preserve">Returns</t>
  </si>
  <si>
    <t xml:space="preserve">the assistant's role</t>
  </si>
  <si>
    <t xml:space="preserve">resp["output"]["message"]["role"]</t>
  </si>
  <si>
    <t xml:space="preserve">'assistant'</t>
  </si>
  <si>
    <t xml:space="preserve">the whole message</t>
  </si>
  <si>
    <t xml:space="preserve">resp["output"]["message"]</t>
  </si>
  <si>
    <t xml:space="preserve">{role, content}</t>
  </si>
  <si>
    <t xml:space="preserve">Walk the main path slowly: output -&gt; message -&gt; content -&gt; [0] -&gt; text. Beginners get lost here on day one; after this they never do.</t>
  </si>
  <si>
    <t xml:space="preserve">{'text': ...}</t>
  </si>
  <si>
    <t xml:space="preserve">inferenceConfig fit</t>
  </si>
  <si>
    <t xml:space="preserve">Does your temperature and maxTokens match the task? Change them and see.</t>
  </si>
  <si>
    <t xml:space="preserve">temp lo</t>
  </si>
  <si>
    <t xml:space="preserve">temp hi</t>
  </si>
  <si>
    <t xml:space="preserve">min tokens</t>
  </si>
  <si>
    <t xml:space="preserve">Task type</t>
  </si>
  <si>
    <t xml:space="preserve">Parsing / extraction</t>
  </si>
  <si>
    <t xml:space="preserve">temperature</t>
  </si>
  <si>
    <t xml:space="preserve">Classification</t>
  </si>
  <si>
    <t xml:space="preserve">maxTokens</t>
  </si>
  <si>
    <t xml:space="preserve">Brainstorming</t>
  </si>
  <si>
    <t xml:space="preserve">Creative writing</t>
  </si>
  <si>
    <t xml:space="preserve">Temperature</t>
  </si>
  <si>
    <t xml:space="preserve">Length</t>
  </si>
  <si>
    <t xml:space="preserve">temperature 0 for parsing / classification (repeatable); higher for brainstorming / creative. maxTokens must leave room for the answer or it truncates. Default shows a temp mismatch - drop it to 0.</t>
  </si>
  <si>
    <t xml:space="preserve">Why did my call fail?</t>
  </si>
  <si>
    <t xml:space="preserve">Pick the error you see; get the plain-English cause and the fix.</t>
  </si>
  <si>
    <t xml:space="preserve">Error</t>
  </si>
  <si>
    <t xml:space="preserve">Cause</t>
  </si>
  <si>
    <t xml:space="preserve">Fix</t>
  </si>
  <si>
    <t xml:space="preserve">Error you see</t>
  </si>
  <si>
    <t xml:space="preserve">ThrottlingException: Too many tokens per day</t>
  </si>
  <si>
    <t xml:space="preserve">Account daily-token quota is ~0 (provisioning). NOT your code or your credits.</t>
  </si>
  <si>
    <t xml:space="preserve">Service Quotas -&gt; request increase; open AWS Support with the x-amzn-requestid + a screenshot of the 0 quota.</t>
  </si>
  <si>
    <t xml:space="preserve">ValidationException: on-demand throughput isn't supported</t>
  </si>
  <si>
    <t xml:space="preserve">The model needs an inference profile, not the bare ID.</t>
  </si>
  <si>
    <t xml:space="preserve">Use the us. / eu. / apac. / global. prefix on the modelId.</t>
  </si>
  <si>
    <t xml:space="preserve">Unable to locate credentials / ExpiredToken</t>
  </si>
  <si>
    <t xml:space="preserve">No auth, or it expired.</t>
  </si>
  <si>
    <t xml:space="preserve">Set AWS_BEARER_TOKEN_BEDROCK, or aws configure / refresh SSO.</t>
  </si>
  <si>
    <t xml:space="preserve">AccessDeniedException on a Claude model</t>
  </si>
  <si>
    <t xml:space="preserve">Anthropic one-time usage form not accepted.</t>
  </si>
  <si>
    <t xml:space="preserve">Accept it once in the Bedrock console (pick a Claude model in the playground).</t>
  </si>
  <si>
    <t xml:space="preserve">ThrottlingException: Too many requests</t>
  </si>
  <si>
    <t xml:space="preserve">Per-minute request rate exceeded.</t>
  </si>
  <si>
    <t xml:space="preserve">Adaptive retries + backoff; slow the loop; spread calls out.</t>
  </si>
  <si>
    <t xml:space="preserve">json.JSONDecodeError</t>
  </si>
  <si>
    <t xml:space="preserve">Model returned prose or code fences, not clean JSON.</t>
  </si>
  <si>
    <t xml:space="preserve">Wrap json.loads; say 'no code fences'; or use structured output.</t>
  </si>
  <si>
    <t xml:space="preserve">Model not found / could not connect</t>
  </si>
  <si>
    <t xml:space="preserve">Wrong region for that model.</t>
  </si>
  <si>
    <t xml:space="preserve">Check the model card's regions; switch region (e.g. us-east-1).</t>
  </si>
  <si>
    <t xml:space="preserve">The first one is the error you just spent days on - and the fix lived in AWS (quota), not your code. Keep this tab handy during Day 5.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</si>
</sst>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%"/>
  </numFmts>
  <fonts count="1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color rgb="FFFFFFFF"/>
      <name val="Arial"/>
      <family val="0"/>
      <charset val="1"/>
    </font>
    <font>
      <i val="true"/>
      <sz val="10.5"/>
      <color rgb="FF6B7280"/>
      <name val="Arial"/>
      <family val="0"/>
      <charset val="1"/>
    </font>
    <font>
      <b val="true"/>
      <sz val="10"/>
      <color rgb="FF1B2A41"/>
      <name val="Arial"/>
      <family val="0"/>
      <charset val="1"/>
    </font>
    <font>
      <b val="true"/>
      <sz val="10.5"/>
      <color rgb="FFC2703D"/>
      <name val="Arial"/>
      <family val="0"/>
      <charset val="1"/>
    </font>
    <font>
      <b val="true"/>
      <sz val="10.5"/>
      <color rgb="FF1B2A41"/>
      <name val="Arial"/>
      <family val="0"/>
      <charset val="1"/>
    </font>
    <font>
      <sz val="10.5"/>
      <color rgb="FF1F2430"/>
      <name val="Arial"/>
      <family val="0"/>
      <charset val="1"/>
    </font>
    <font>
      <i val="true"/>
      <sz val="10"/>
      <color rgb="FF6B7280"/>
      <name val="Arial"/>
      <family val="0"/>
      <charset val="1"/>
    </font>
    <font>
      <b val="true"/>
      <sz val="11"/>
      <color rgb="FF1B2A41"/>
      <name val="Arial"/>
      <family val="0"/>
      <charset val="1"/>
    </font>
    <font>
      <b val="true"/>
      <sz val="11"/>
      <color rgb="FF1F2430"/>
      <name val="Arial"/>
      <family val="0"/>
      <charset val="1"/>
    </font>
    <font>
      <sz val="9.5"/>
      <color rgb="FF1F2430"/>
      <name val="Arial"/>
      <family val="0"/>
      <charset val="1"/>
    </font>
    <font>
      <sz val="9.5"/>
      <color rgb="FF1F2430"/>
      <name val="Consolas"/>
      <family val="0"/>
      <charset val="1"/>
    </font>
    <font>
      <sz val="11"/>
      <color rgb="FF1B2A41"/>
      <name val="Consolas"/>
      <family val="0"/>
      <charset val="1"/>
    </font>
    <font>
      <sz val="10.5"/>
      <color rgb="FF1B2A41"/>
      <name val="Consolas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1B2A41"/>
        <bgColor rgb="FF1F2430"/>
      </patternFill>
    </fill>
    <fill>
      <patternFill patternType="solid">
        <fgColor rgb="FFDCE5F2"/>
        <bgColor rgb="FFD6E9D5"/>
      </patternFill>
    </fill>
    <fill>
      <patternFill patternType="solid">
        <fgColor rgb="FFFFFFFF"/>
        <bgColor rgb="FFF2F4F7"/>
      </patternFill>
    </fill>
    <fill>
      <patternFill patternType="solid">
        <fgColor rgb="FFF2F4F7"/>
        <bgColor rgb="FFFFFFFF"/>
      </patternFill>
    </fill>
    <fill>
      <patternFill patternType="solid">
        <fgColor rgb="FFFCEFCF"/>
        <bgColor rgb="FFF6E7C9"/>
      </patternFill>
    </fill>
    <fill>
      <patternFill patternType="solid">
        <fgColor rgb="FFF6E7C9"/>
        <bgColor rgb="FFFCEFCF"/>
      </patternFill>
    </fill>
    <fill>
      <patternFill patternType="solid">
        <fgColor rgb="FFD6E9D5"/>
        <bgColor rgb="FFDCE5F2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C4C9D2"/>
      </left>
      <right style="thin">
        <color rgb="FFC4C9D2"/>
      </right>
      <top style="thin">
        <color rgb="FFC4C9D2"/>
      </top>
      <bottom style="thin">
        <color rgb="FFC4C9D2"/>
      </bottom>
      <diagonal/>
    </border>
    <border diagonalUp="false" diagonalDown="false">
      <left/>
      <right style="thin">
        <color rgb="FFC4C9D2"/>
      </right>
      <top/>
      <bottom style="thin">
        <color rgb="FFC4C9D2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5" fillId="0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9" fillId="4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9" fillId="5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0" fillId="0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1" fillId="0" borderId="0" xfId="0" applyFont="true" applyBorder="false" applyAlignment="true" applyProtection="false">
      <alignment horizontal="left" vertical="center" textRotation="0" wrapText="false" indent="1" shrinkToFit="false"/>
      <protection locked="true" hidden="false"/>
    </xf>
    <xf numFmtId="164" fontId="12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0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4" fillId="0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1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9" fillId="0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5" fontId="11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0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10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3" fillId="0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11" fillId="7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11" fillId="8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>
          <bgColor rgb="FFF6E7C9"/>
        </patternFill>
      </fill>
    </dxf>
    <dxf>
      <fill>
        <patternFill>
          <bgColor rgb="FFDCE5F2"/>
        </patternFill>
      </fill>
    </dxf>
    <dxf>
      <fill>
        <patternFill>
          <bgColor rgb="FFD6E9D5"/>
        </patternFill>
      </fill>
    </dxf>
    <dxf>
      <fill>
        <patternFill>
          <bgColor rgb="FFF2D4D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4C9D2"/>
      <rgbColor rgb="FF808080"/>
      <rgbColor rgb="FF9999FF"/>
      <rgbColor rgb="FF993366"/>
      <rgbColor rgb="FFFCEFCF"/>
      <rgbColor rgb="FFF2F4F7"/>
      <rgbColor rgb="FF660066"/>
      <rgbColor rgb="FFFF8080"/>
      <rgbColor rgb="FF0066CC"/>
      <rgbColor rgb="FFDCE5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6E9D5"/>
      <rgbColor rgb="FFF6E7C9"/>
      <rgbColor rgb="FF99CCFF"/>
      <rgbColor rgb="FFFF99CC"/>
      <rgbColor rgb="FFCC99FF"/>
      <rgbColor rgb="FFF2D4D0"/>
      <rgbColor rgb="FF3366FF"/>
      <rgbColor rgb="FF33CCCC"/>
      <rgbColor rgb="FF99CC00"/>
      <rgbColor rgb="FFFFCC00"/>
      <rgbColor rgb="FFFF9900"/>
      <rgbColor rgb="FFC2703D"/>
      <rgbColor rgb="FF6B7280"/>
      <rgbColor rgb="FF969696"/>
      <rgbColor rgb="FF003366"/>
      <rgbColor rgb="FF339966"/>
      <rgbColor rgb="FF003300"/>
      <rgbColor rgb="FF1F2430"/>
      <rgbColor rgb="FF993300"/>
      <rgbColor rgb="FF993366"/>
      <rgbColor rgb="FF333399"/>
      <rgbColor rgb="FF1B2A41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1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38"/>
    <col collapsed="false" customWidth="true" hidden="false" outlineLevel="0" max="3" min="3" style="0" width="48"/>
    <col collapsed="false" customWidth="true" hidden="false" outlineLevel="0" max="4" min="4" style="0" width="16"/>
  </cols>
  <sheetData>
    <row r="1" customFormat="false" ht="30" hidden="false" customHeight="true" outlineLevel="0" collapsed="false">
      <c r="A1" s="1" t="s">
        <v>0</v>
      </c>
      <c r="B1" s="1"/>
      <c r="C1" s="1"/>
      <c r="D1" s="1"/>
    </row>
    <row r="2" customFormat="false" ht="19.5" hidden="false" customHeight="true" outlineLevel="0" collapsed="false">
      <c r="A2" s="2" t="s">
        <v>1</v>
      </c>
      <c r="B2" s="2"/>
      <c r="C2" s="2"/>
      <c r="D2" s="2"/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</row>
    <row r="5" customFormat="false" ht="21.75" hidden="false" customHeight="true" outlineLevel="0" collapsed="false">
      <c r="A5" s="4" t="s">
        <v>6</v>
      </c>
      <c r="B5" s="5" t="s">
        <v>7</v>
      </c>
      <c r="C5" s="6" t="s">
        <v>8</v>
      </c>
      <c r="D5" s="6" t="s">
        <v>9</v>
      </c>
    </row>
    <row r="6" customFormat="false" ht="21.75" hidden="false" customHeight="true" outlineLevel="0" collapsed="false">
      <c r="A6" s="7" t="s">
        <v>10</v>
      </c>
      <c r="B6" s="8" t="s">
        <v>11</v>
      </c>
      <c r="C6" s="9" t="s">
        <v>12</v>
      </c>
      <c r="D6" s="9" t="s">
        <v>13</v>
      </c>
    </row>
    <row r="7" customFormat="false" ht="21.75" hidden="false" customHeight="true" outlineLevel="0" collapsed="false">
      <c r="A7" s="4" t="s">
        <v>14</v>
      </c>
      <c r="B7" s="5" t="s">
        <v>15</v>
      </c>
      <c r="C7" s="6" t="s">
        <v>16</v>
      </c>
      <c r="D7" s="6" t="s">
        <v>17</v>
      </c>
    </row>
    <row r="8" customFormat="false" ht="21.75" hidden="false" customHeight="true" outlineLevel="0" collapsed="false">
      <c r="A8" s="7" t="s">
        <v>18</v>
      </c>
      <c r="B8" s="8" t="s">
        <v>19</v>
      </c>
      <c r="C8" s="9" t="s">
        <v>20</v>
      </c>
      <c r="D8" s="9" t="s">
        <v>21</v>
      </c>
    </row>
    <row r="9" customFormat="false" ht="21.75" hidden="false" customHeight="true" outlineLevel="0" collapsed="false">
      <c r="A9" s="4" t="s">
        <v>22</v>
      </c>
      <c r="B9" s="5" t="s">
        <v>23</v>
      </c>
      <c r="C9" s="6" t="s">
        <v>24</v>
      </c>
      <c r="D9" s="6" t="s">
        <v>25</v>
      </c>
    </row>
    <row r="10" customFormat="false" ht="21.75" hidden="false" customHeight="true" outlineLevel="0" collapsed="false">
      <c r="A10" s="7" t="s">
        <v>26</v>
      </c>
      <c r="B10" s="8" t="s">
        <v>27</v>
      </c>
      <c r="C10" s="9" t="s">
        <v>28</v>
      </c>
      <c r="D10" s="9" t="s">
        <v>29</v>
      </c>
    </row>
    <row r="11" customFormat="false" ht="21.75" hidden="false" customHeight="true" outlineLevel="0" collapsed="false">
      <c r="A11" s="4" t="s">
        <v>30</v>
      </c>
      <c r="B11" s="5" t="s">
        <v>31</v>
      </c>
      <c r="C11" s="6" t="s">
        <v>32</v>
      </c>
      <c r="D11" s="6" t="s">
        <v>33</v>
      </c>
    </row>
    <row r="12" customFormat="false" ht="21.75" hidden="false" customHeight="true" outlineLevel="0" collapsed="false">
      <c r="A12" s="7" t="s">
        <v>34</v>
      </c>
      <c r="B12" s="8" t="s">
        <v>35</v>
      </c>
      <c r="C12" s="9" t="s">
        <v>36</v>
      </c>
      <c r="D12" s="9" t="s">
        <v>37</v>
      </c>
    </row>
    <row r="14" customFormat="false" ht="23.85" hidden="false" customHeight="true" outlineLevel="0" collapsed="false">
      <c r="A14" s="10" t="s">
        <v>38</v>
      </c>
      <c r="B14" s="10"/>
      <c r="C14" s="10"/>
      <c r="D14" s="10"/>
    </row>
  </sheetData>
  <mergeCells count="3">
    <mergeCell ref="A1:D1"/>
    <mergeCell ref="A2:D2"/>
    <mergeCell ref="A14:D14"/>
  </mergeCells>
  <printOptions headings="false" gridLines="false" gridLinesSet="true" horizontalCentered="false" verticalCentered="false"/>
  <pageMargins left="0.3" right="0.3" top="0.4" bottom="0.4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G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2"/>
    <col collapsed="false" customWidth="true" hidden="false" outlineLevel="0" max="3" min="3" style="0" width="40"/>
    <col collapsed="false" customWidth="true" hidden="false" outlineLevel="0" max="4" min="4" style="0" width="3"/>
    <col collapsed="false" customWidth="true" hidden="false" outlineLevel="0" max="5" min="5" style="0" width="34"/>
    <col collapsed="false" customWidth="true" hidden="false" outlineLevel="0" max="6" min="6" style="0" width="18"/>
    <col collapsed="false" customWidth="true" hidden="false" outlineLevel="0" max="7" min="7" style="0" width="24"/>
  </cols>
  <sheetData>
    <row r="1" customFormat="false" ht="30" hidden="false" customHeight="true" outlineLevel="0" collapsed="false">
      <c r="A1" s="1" t="s">
        <v>39</v>
      </c>
      <c r="B1" s="1"/>
      <c r="C1" s="1"/>
      <c r="D1" s="1"/>
      <c r="E1" s="1"/>
      <c r="F1" s="1"/>
      <c r="G1" s="1"/>
    </row>
    <row r="2" customFormat="false" ht="19.5" hidden="false" customHeight="true" outlineLevel="0" collapsed="false">
      <c r="A2" s="2" t="s">
        <v>40</v>
      </c>
      <c r="B2" s="2"/>
      <c r="C2" s="2"/>
      <c r="D2" s="2"/>
      <c r="E2" s="2"/>
      <c r="F2" s="2"/>
      <c r="G2" s="2"/>
    </row>
    <row r="3" customFormat="false" ht="15" hidden="false" customHeight="false" outlineLevel="0" collapsed="false">
      <c r="E3" s="3" t="s">
        <v>41</v>
      </c>
      <c r="F3" s="3" t="s">
        <v>42</v>
      </c>
      <c r="G3" s="3" t="s">
        <v>43</v>
      </c>
    </row>
    <row r="4" customFormat="false" ht="15" hidden="false" customHeight="false" outlineLevel="0" collapsed="false">
      <c r="B4" s="11" t="s">
        <v>44</v>
      </c>
      <c r="C4" s="12" t="s">
        <v>45</v>
      </c>
      <c r="E4" s="13" t="s">
        <v>46</v>
      </c>
      <c r="F4" s="13" t="s">
        <v>47</v>
      </c>
      <c r="G4" s="14" t="s">
        <v>48</v>
      </c>
    </row>
    <row r="5" customFormat="false" ht="15" hidden="false" customHeight="false" outlineLevel="0" collapsed="false">
      <c r="E5" s="13" t="s">
        <v>45</v>
      </c>
      <c r="F5" s="13" t="s">
        <v>49</v>
      </c>
      <c r="G5" s="14" t="s">
        <v>50</v>
      </c>
    </row>
    <row r="6" customFormat="false" ht="15" hidden="false" customHeight="false" outlineLevel="0" collapsed="false">
      <c r="B6" s="11" t="s">
        <v>51</v>
      </c>
      <c r="C6" s="15" t="str">
        <f aca="false">VLOOKUP(C4,$E$4:$G$11,2,0)</f>
        <v>bedrock-runtime</v>
      </c>
      <c r="E6" s="13" t="s">
        <v>52</v>
      </c>
      <c r="F6" s="13" t="s">
        <v>47</v>
      </c>
      <c r="G6" s="14" t="s">
        <v>53</v>
      </c>
    </row>
    <row r="7" customFormat="false" ht="15" hidden="false" customHeight="false" outlineLevel="0" collapsed="false">
      <c r="B7" s="11" t="s">
        <v>54</v>
      </c>
      <c r="C7" s="16" t="str">
        <f aca="false">VLOOKUP(C4,$E$4:$G$11,3,0)</f>
        <v>converse()</v>
      </c>
      <c r="E7" s="13" t="s">
        <v>55</v>
      </c>
      <c r="F7" s="13" t="s">
        <v>49</v>
      </c>
      <c r="G7" s="14" t="s">
        <v>56</v>
      </c>
    </row>
    <row r="8" customFormat="false" ht="15" hidden="false" customHeight="false" outlineLevel="0" collapsed="false">
      <c r="E8" s="13" t="s">
        <v>57</v>
      </c>
      <c r="F8" s="13" t="s">
        <v>49</v>
      </c>
      <c r="G8" s="14" t="s">
        <v>58</v>
      </c>
    </row>
    <row r="9" customFormat="false" ht="15" hidden="false" customHeight="false" outlineLevel="0" collapsed="false">
      <c r="E9" s="13" t="s">
        <v>59</v>
      </c>
      <c r="F9" s="13" t="s">
        <v>47</v>
      </c>
      <c r="G9" s="14" t="s">
        <v>60</v>
      </c>
    </row>
    <row r="10" customFormat="false" ht="15" hidden="false" customHeight="false" outlineLevel="0" collapsed="false">
      <c r="E10" s="13" t="s">
        <v>61</v>
      </c>
      <c r="F10" s="13" t="s">
        <v>47</v>
      </c>
      <c r="G10" s="14" t="s">
        <v>53</v>
      </c>
    </row>
    <row r="11" customFormat="false" ht="15" hidden="false" customHeight="false" outlineLevel="0" collapsed="false">
      <c r="E11" s="13" t="s">
        <v>62</v>
      </c>
      <c r="F11" s="13" t="s">
        <v>47</v>
      </c>
      <c r="G11" s="14" t="s">
        <v>63</v>
      </c>
    </row>
    <row r="13" customFormat="false" ht="15" hidden="false" customHeight="true" outlineLevel="0" collapsed="false">
      <c r="A13" s="10" t="s">
        <v>64</v>
      </c>
      <c r="B13" s="10"/>
      <c r="C13" s="10"/>
      <c r="D13" s="10"/>
      <c r="E13" s="10"/>
      <c r="F13" s="10"/>
      <c r="G13" s="10"/>
    </row>
  </sheetData>
  <mergeCells count="3">
    <mergeCell ref="A1:G1"/>
    <mergeCell ref="A2:G2"/>
    <mergeCell ref="A13:G13"/>
  </mergeCells>
  <conditionalFormatting sqref="C6">
    <cfRule type="expression" priority="2" aboveAverage="0" equalAverage="0" bottom="0" percent="0" rank="0" text="" dxfId="0">
      <formula>$C$6="bedrock-runtime"</formula>
    </cfRule>
    <cfRule type="expression" priority="3" aboveAverage="0" equalAverage="0" bottom="0" percent="0" rank="0" text="" dxfId="1">
      <formula>$C$6="bedrock"</formula>
    </cfRule>
  </conditionalFormatting>
  <dataValidations count="1">
    <dataValidation allowBlank="false" errorStyle="stop" operator="between" showDropDown="false" showErrorMessage="false" showInputMessage="false" sqref="C4" type="list">
      <formula1>$E$4:$E$11</formula1>
      <formula2>0</formula2>
    </dataValidation>
  </dataValidations>
  <printOptions headings="false" gridLines="false" gridLinesSet="true" horizontalCentered="false" verticalCentered="false"/>
  <pageMargins left="0.3" right="0.3" top="0.4" bottom="0.4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E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40"/>
    <col collapsed="false" customWidth="true" hidden="false" outlineLevel="0" max="3" min="3" style="0" width="30"/>
    <col collapsed="false" customWidth="true" hidden="false" outlineLevel="0" max="4" min="4" style="0" width="3"/>
    <col collapsed="false" customWidth="true" hidden="false" outlineLevel="0" max="5" min="5" style="0" width="46"/>
  </cols>
  <sheetData>
    <row r="1" customFormat="false" ht="30" hidden="false" customHeight="true" outlineLevel="0" collapsed="false">
      <c r="A1" s="1" t="s">
        <v>65</v>
      </c>
      <c r="B1" s="1"/>
      <c r="C1" s="1"/>
      <c r="D1" s="1"/>
      <c r="E1" s="1"/>
    </row>
    <row r="2" customFormat="false" ht="19.5" hidden="false" customHeight="true" outlineLevel="0" collapsed="false">
      <c r="A2" s="2" t="s">
        <v>66</v>
      </c>
      <c r="B2" s="2"/>
      <c r="C2" s="2"/>
      <c r="D2" s="2"/>
      <c r="E2" s="2"/>
    </row>
    <row r="4" customFormat="false" ht="15" hidden="false" customHeight="false" outlineLevel="0" collapsed="false">
      <c r="B4" s="11" t="s">
        <v>67</v>
      </c>
      <c r="C4" s="12" t="s">
        <v>68</v>
      </c>
    </row>
    <row r="5" customFormat="false" ht="15" hidden="false" customHeight="false" outlineLevel="0" collapsed="false">
      <c r="B5" s="11" t="s">
        <v>69</v>
      </c>
      <c r="C5" s="12" t="s">
        <v>70</v>
      </c>
    </row>
    <row r="7" customFormat="false" ht="15" hidden="false" customHeight="false" outlineLevel="0" collapsed="false">
      <c r="B7" s="11" t="s">
        <v>71</v>
      </c>
      <c r="C7" s="15" t="str">
        <f aca="false">IF(C4="Building an app","SDK (boto3)",IF(C4="CI pipeline check","CLI",IF(C4="Quick smoke test","CLI",IF(C5="Yes","SDK (boto3)","Console Playground"))))</f>
        <v>Console Playground</v>
      </c>
    </row>
    <row r="8" customFormat="false" ht="43.5" hidden="false" customHeight="true" outlineLevel="0" collapsed="false">
      <c r="B8" s="11" t="s">
        <v>72</v>
      </c>
      <c r="C8" s="17" t="str">
        <f aca="false">IF(LEFT(C7,3)="SDK","Programmable and repeatable - the real build path.",IF(C7="CLI","Fast one-liners and CI checks, no program to write.","Zero setup; best for exploring and showing others."))</f>
        <v>Zero setup; best for exploring and showing others.</v>
      </c>
    </row>
    <row r="10" customFormat="false" ht="23.85" hidden="false" customHeight="true" outlineLevel="0" collapsed="false">
      <c r="A10" s="10" t="s">
        <v>73</v>
      </c>
      <c r="B10" s="10"/>
      <c r="C10" s="10"/>
      <c r="D10" s="10"/>
      <c r="E10" s="10"/>
    </row>
  </sheetData>
  <mergeCells count="3">
    <mergeCell ref="A1:E1"/>
    <mergeCell ref="A2:E2"/>
    <mergeCell ref="A10:E10"/>
  </mergeCells>
  <conditionalFormatting sqref="C7">
    <cfRule type="expression" priority="2" aboveAverage="0" equalAverage="0" bottom="0" percent="0" rank="0" text="" dxfId="2">
      <formula>$C$7="Console Playground"</formula>
    </cfRule>
    <cfRule type="expression" priority="3" aboveAverage="0" equalAverage="0" bottom="0" percent="0" rank="0" text="" dxfId="0">
      <formula>$C$7="CLI"</formula>
    </cfRule>
    <cfRule type="expression" priority="4" aboveAverage="0" equalAverage="0" bottom="0" percent="0" rank="0" text="" dxfId="1">
      <formula>LEFT($C$7,3)="SDK"</formula>
    </cfRule>
  </conditionalFormatting>
  <dataValidations count="2">
    <dataValidation allowBlank="false" errorStyle="stop" operator="between" showDropDown="false" showErrorMessage="false" showInputMessage="false" sqref="C4" type="list">
      <formula1>"Exploring / comparing models,Quick smoke test,Building an app,CI pipeline check,Demo to stakeholders"</formula1>
      <formula2>0</formula2>
    </dataValidation>
    <dataValidation allowBlank="false" errorStyle="stop" operator="between" showDropDown="false" showErrorMessage="false" showInputMessage="false" sqref="C5" type="list">
      <formula1>"Yes,No"</formula1>
      <formula2>0</formula2>
    </dataValidation>
  </dataValidations>
  <printOptions headings="false" gridLines="false" gridLinesSet="true" horizontalCentered="false" verticalCentered="false"/>
  <pageMargins left="0.3" right="0.3" top="0.4" bottom="0.4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E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40"/>
    <col collapsed="false" customWidth="true" hidden="false" outlineLevel="0" max="3" min="3" style="0" width="30"/>
    <col collapsed="false" customWidth="true" hidden="false" outlineLevel="0" max="4" min="4" style="0" width="3"/>
    <col collapsed="false" customWidth="true" hidden="false" outlineLevel="0" max="5" min="5" style="0" width="46"/>
  </cols>
  <sheetData>
    <row r="1" customFormat="false" ht="30" hidden="false" customHeight="true" outlineLevel="0" collapsed="false">
      <c r="A1" s="1" t="s">
        <v>74</v>
      </c>
      <c r="B1" s="1"/>
      <c r="C1" s="1"/>
      <c r="D1" s="1"/>
      <c r="E1" s="1"/>
    </row>
    <row r="2" customFormat="false" ht="19.5" hidden="false" customHeight="true" outlineLevel="0" collapsed="false">
      <c r="A2" s="2" t="s">
        <v>75</v>
      </c>
      <c r="B2" s="2"/>
      <c r="C2" s="2"/>
      <c r="D2" s="2"/>
      <c r="E2" s="2"/>
    </row>
    <row r="4" customFormat="false" ht="15" hidden="false" customHeight="false" outlineLevel="0" collapsed="false">
      <c r="B4" s="11" t="s">
        <v>76</v>
      </c>
      <c r="C4" s="12" t="s">
        <v>77</v>
      </c>
    </row>
    <row r="5" customFormat="false" ht="15" hidden="false" customHeight="false" outlineLevel="0" collapsed="false">
      <c r="B5" s="11" t="s">
        <v>78</v>
      </c>
      <c r="C5" s="12" t="s">
        <v>70</v>
      </c>
    </row>
    <row r="7" customFormat="false" ht="43.5" hidden="false" customHeight="true" outlineLevel="0" collapsed="false">
      <c r="B7" s="11" t="s">
        <v>79</v>
      </c>
      <c r="C7" s="17" t="str">
        <f aca="false">IF(C4="Production server","IAM role on the workload - no keys in code",IF(C4="CI pipeline","Short-lived role via OIDC - no static secret",IF(C4="Shared classroom","Short-term API key per person + AWS_BEARER_TOKEN_BEDROCK",IF(C5="No","SSO / temporary credentials","Short-term API key + AWS_BEARER_TOKEN_BEDROCK"))))</f>
        <v>SSO / temporary credentials</v>
      </c>
    </row>
    <row r="8" customFormat="false" ht="43.5" hidden="false" customHeight="true" outlineLevel="0" collapsed="false">
      <c r="B8" s="11" t="s">
        <v>80</v>
      </c>
      <c r="C8" s="17" t="str">
        <f aca="false">IF(ISNUMBER(SEARCH("key",C7)),"Treat the key like a password: put it in .env, add .env to .gitignore, never commit.","No long-lived secret to leak - good.")</f>
        <v>No long-lived secret to leak - good.</v>
      </c>
    </row>
    <row r="10" customFormat="false" ht="23.85" hidden="false" customHeight="true" outlineLevel="0" collapsed="false">
      <c r="A10" s="10" t="s">
        <v>81</v>
      </c>
      <c r="B10" s="10"/>
      <c r="C10" s="10"/>
      <c r="D10" s="10"/>
      <c r="E10" s="10"/>
    </row>
  </sheetData>
  <mergeCells count="3">
    <mergeCell ref="A1:E1"/>
    <mergeCell ref="A2:E2"/>
    <mergeCell ref="A10:E10"/>
  </mergeCells>
  <conditionalFormatting sqref="C7">
    <cfRule type="expression" priority="2" aboveAverage="0" equalAverage="0" bottom="0" percent="0" rank="0" text="" dxfId="2">
      <formula>OR(ISNUMBER(SEARCH("IAM",C7)),ISNUMBER(SEARCH("SSO",C7)),ISNUMBER(SEARCH("OIDC",C7)))</formula>
    </cfRule>
    <cfRule type="expression" priority="3" aboveAverage="0" equalAverage="0" bottom="0" percent="0" rank="0" text="" dxfId="0">
      <formula>ISNUMBER(SEARCH("key",C7))</formula>
    </cfRule>
  </conditionalFormatting>
  <dataValidations count="2">
    <dataValidation allowBlank="false" errorStyle="stop" operator="between" showDropDown="false" showErrorMessage="false" showInputMessage="false" sqref="C4" type="list">
      <formula1>"Local laptop,Shared classroom,Production server,CI pipeline"</formula1>
      <formula2>0</formula2>
    </dataValidation>
    <dataValidation allowBlank="false" errorStyle="stop" operator="between" showDropDown="false" showErrorMessage="false" showInputMessage="false" sqref="C5" type="list">
      <formula1>"Yes,No"</formula1>
      <formula2>0</formula2>
    </dataValidation>
  </dataValidations>
  <printOptions headings="false" gridLines="false" gridLinesSet="true" horizontalCentered="false" verticalCentered="false"/>
  <pageMargins left="0.3" right="0.3" top="0.4" bottom="0.4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E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58"/>
    <col collapsed="false" customWidth="true" hidden="false" outlineLevel="0" max="3" min="3" style="0" width="14"/>
    <col collapsed="false" customWidth="true" hidden="false" outlineLevel="0" max="4" min="4" style="0" width="3"/>
    <col collapsed="false" customWidth="true" hidden="false" outlineLevel="0" max="5" min="5" style="0" width="40"/>
  </cols>
  <sheetData>
    <row r="1" customFormat="false" ht="30" hidden="false" customHeight="true" outlineLevel="0" collapsed="false">
      <c r="A1" s="1" t="s">
        <v>82</v>
      </c>
      <c r="B1" s="1"/>
      <c r="C1" s="1"/>
      <c r="D1" s="1"/>
      <c r="E1" s="1"/>
    </row>
    <row r="2" customFormat="false" ht="19.5" hidden="false" customHeight="true" outlineLevel="0" collapsed="false">
      <c r="A2" s="2" t="s">
        <v>83</v>
      </c>
      <c r="B2" s="2"/>
      <c r="C2" s="2"/>
      <c r="D2" s="2"/>
      <c r="E2" s="2"/>
    </row>
    <row r="4" customFormat="false" ht="15" hidden="false" customHeight="false" outlineLevel="0" collapsed="false">
      <c r="B4" s="18" t="s">
        <v>84</v>
      </c>
      <c r="C4" s="12" t="s">
        <v>85</v>
      </c>
    </row>
    <row r="5" customFormat="false" ht="15" hidden="false" customHeight="false" outlineLevel="0" collapsed="false">
      <c r="B5" s="18" t="s">
        <v>86</v>
      </c>
      <c r="C5" s="12" t="s">
        <v>85</v>
      </c>
    </row>
    <row r="6" customFormat="false" ht="15" hidden="false" customHeight="false" outlineLevel="0" collapsed="false">
      <c r="B6" s="18" t="s">
        <v>87</v>
      </c>
      <c r="C6" s="12" t="s">
        <v>85</v>
      </c>
    </row>
    <row r="7" customFormat="false" ht="15" hidden="false" customHeight="false" outlineLevel="0" collapsed="false">
      <c r="B7" s="18" t="s">
        <v>88</v>
      </c>
      <c r="C7" s="12" t="s">
        <v>85</v>
      </c>
    </row>
    <row r="8" customFormat="false" ht="15" hidden="false" customHeight="false" outlineLevel="0" collapsed="false">
      <c r="B8" s="18" t="s">
        <v>89</v>
      </c>
      <c r="C8" s="12" t="s">
        <v>70</v>
      </c>
    </row>
    <row r="9" customFormat="false" ht="15" hidden="false" customHeight="false" outlineLevel="0" collapsed="false">
      <c r="B9" s="18" t="s">
        <v>90</v>
      </c>
      <c r="C9" s="12" t="s">
        <v>85</v>
      </c>
    </row>
    <row r="10" customFormat="false" ht="15" hidden="false" customHeight="false" outlineLevel="0" collapsed="false">
      <c r="B10" s="18" t="s">
        <v>91</v>
      </c>
      <c r="C10" s="12" t="s">
        <v>70</v>
      </c>
    </row>
    <row r="11" customFormat="false" ht="15" hidden="false" customHeight="false" outlineLevel="0" collapsed="false">
      <c r="B11" s="18" t="s">
        <v>92</v>
      </c>
      <c r="C11" s="12" t="s">
        <v>70</v>
      </c>
    </row>
    <row r="13" customFormat="false" ht="15" hidden="false" customHeight="false" outlineLevel="0" collapsed="false">
      <c r="B13" s="11" t="s">
        <v>93</v>
      </c>
      <c r="C13" s="19" t="n">
        <f aca="false">COUNTIF(C4:C11,"Yes")/8</f>
        <v>0.625</v>
      </c>
      <c r="D13" s="19"/>
      <c r="E13" s="19"/>
    </row>
    <row r="14" customFormat="false" ht="15" hidden="false" customHeight="false" outlineLevel="0" collapsed="false">
      <c r="B14" s="11" t="s">
        <v>94</v>
      </c>
      <c r="C14" s="15" t="str">
        <f aca="false">IF(COUNTIF(C4:C11,"Yes")=8,"Ready for Day 5",IF(COUNTIF(C4:C11,"Yes")/8&gt;=0.6,"Almost - finish the rest","Not yet - keep going"))</f>
        <v>Almost - finish the rest</v>
      </c>
      <c r="D14" s="15"/>
      <c r="E14" s="15"/>
    </row>
    <row r="15" customFormat="false" ht="25.5" hidden="false" customHeight="true" outlineLevel="0" collapsed="false">
      <c r="B15" s="11" t="s">
        <v>95</v>
      </c>
      <c r="C15" s="17" t="str">
        <f aca="false">IFERROR(INDEX(B4:B11,MATCH("No",C4:C11,0)),"All done - you are ready.")</f>
        <v>.env added to .gitignore</v>
      </c>
      <c r="D15" s="17"/>
      <c r="E15" s="17"/>
    </row>
    <row r="17" customFormat="false" ht="15" hidden="false" customHeight="true" outlineLevel="0" collapsed="false">
      <c r="A17" s="10" t="s">
        <v>96</v>
      </c>
      <c r="B17" s="10"/>
      <c r="C17" s="10"/>
      <c r="D17" s="10"/>
      <c r="E17" s="10"/>
    </row>
  </sheetData>
  <mergeCells count="6">
    <mergeCell ref="A1:E1"/>
    <mergeCell ref="A2:E2"/>
    <mergeCell ref="C13:E13"/>
    <mergeCell ref="C14:E14"/>
    <mergeCell ref="C15:E15"/>
    <mergeCell ref="A17:E17"/>
  </mergeCells>
  <conditionalFormatting sqref="C4">
    <cfRule type="expression" priority="2" aboveAverage="0" equalAverage="0" bottom="0" percent="0" rank="0" text="" dxfId="2">
      <formula>$C4="Yes"</formula>
    </cfRule>
    <cfRule type="expression" priority="3" aboveAverage="0" equalAverage="0" bottom="0" percent="0" rank="0" text="" dxfId="3">
      <formula>$C4="No"</formula>
    </cfRule>
  </conditionalFormatting>
  <conditionalFormatting sqref="C5">
    <cfRule type="expression" priority="4" aboveAverage="0" equalAverage="0" bottom="0" percent="0" rank="0" text="" dxfId="2">
      <formula>$C5="Yes"</formula>
    </cfRule>
    <cfRule type="expression" priority="5" aboveAverage="0" equalAverage="0" bottom="0" percent="0" rank="0" text="" dxfId="3">
      <formula>$C5="No"</formula>
    </cfRule>
  </conditionalFormatting>
  <conditionalFormatting sqref="C6">
    <cfRule type="expression" priority="6" aboveAverage="0" equalAverage="0" bottom="0" percent="0" rank="0" text="" dxfId="2">
      <formula>$C6="Yes"</formula>
    </cfRule>
    <cfRule type="expression" priority="7" aboveAverage="0" equalAverage="0" bottom="0" percent="0" rank="0" text="" dxfId="3">
      <formula>$C6="No"</formula>
    </cfRule>
  </conditionalFormatting>
  <conditionalFormatting sqref="C7">
    <cfRule type="expression" priority="8" aboveAverage="0" equalAverage="0" bottom="0" percent="0" rank="0" text="" dxfId="2">
      <formula>$C7="Yes"</formula>
    </cfRule>
    <cfRule type="expression" priority="9" aboveAverage="0" equalAverage="0" bottom="0" percent="0" rank="0" text="" dxfId="3">
      <formula>$C7="No"</formula>
    </cfRule>
  </conditionalFormatting>
  <conditionalFormatting sqref="C8">
    <cfRule type="expression" priority="10" aboveAverage="0" equalAverage="0" bottom="0" percent="0" rank="0" text="" dxfId="2">
      <formula>$C8="Yes"</formula>
    </cfRule>
    <cfRule type="expression" priority="11" aboveAverage="0" equalAverage="0" bottom="0" percent="0" rank="0" text="" dxfId="3">
      <formula>$C8="No"</formula>
    </cfRule>
  </conditionalFormatting>
  <conditionalFormatting sqref="C9">
    <cfRule type="expression" priority="12" aboveAverage="0" equalAverage="0" bottom="0" percent="0" rank="0" text="" dxfId="2">
      <formula>$C9="Yes"</formula>
    </cfRule>
    <cfRule type="expression" priority="13" aboveAverage="0" equalAverage="0" bottom="0" percent="0" rank="0" text="" dxfId="3">
      <formula>$C9="No"</formula>
    </cfRule>
  </conditionalFormatting>
  <conditionalFormatting sqref="C10">
    <cfRule type="expression" priority="14" aboveAverage="0" equalAverage="0" bottom="0" percent="0" rank="0" text="" dxfId="2">
      <formula>$C10="Yes"</formula>
    </cfRule>
    <cfRule type="expression" priority="15" aboveAverage="0" equalAverage="0" bottom="0" percent="0" rank="0" text="" dxfId="3">
      <formula>$C10="No"</formula>
    </cfRule>
  </conditionalFormatting>
  <conditionalFormatting sqref="C11">
    <cfRule type="expression" priority="16" aboveAverage="0" equalAverage="0" bottom="0" percent="0" rank="0" text="" dxfId="2">
      <formula>$C11="Yes"</formula>
    </cfRule>
    <cfRule type="expression" priority="17" aboveAverage="0" equalAverage="0" bottom="0" percent="0" rank="0" text="" dxfId="3">
      <formula>$C11="No"</formula>
    </cfRule>
  </conditionalFormatting>
  <conditionalFormatting sqref="C14">
    <cfRule type="expression" priority="18" aboveAverage="0" equalAverage="0" bottom="0" percent="0" rank="0" text="" dxfId="2">
      <formula>COUNTIF(C4:C11,"Yes")=8</formula>
    </cfRule>
    <cfRule type="expression" priority="19" aboveAverage="0" equalAverage="0" bottom="0" percent="0" rank="0" text="" dxfId="0">
      <formula>AND(COUNTIF(C4:C11,"Yes")&lt;8,COUNTIF(C4:C11,"Yes")/8&gt;=0.6)</formula>
    </cfRule>
    <cfRule type="expression" priority="20" aboveAverage="0" equalAverage="0" bottom="0" percent="0" rank="0" text="" dxfId="3">
      <formula>COUNTIF(C4:C11,"Yes")/8&lt;0.6</formula>
    </cfRule>
  </conditionalFormatting>
  <dataValidations count="8">
    <dataValidation allowBlank="false" errorStyle="stop" operator="between" showDropDown="false" showErrorMessage="false" showInputMessage="false" sqref="C4" type="list">
      <formula1>"Yes,No"</formula1>
      <formula2>0</formula2>
    </dataValidation>
    <dataValidation allowBlank="false" errorStyle="stop" operator="between" showDropDown="false" showErrorMessage="false" showInputMessage="false" sqref="C5" type="list">
      <formula1>"Yes,No"</formula1>
      <formula2>0</formula2>
    </dataValidation>
    <dataValidation allowBlank="false" errorStyle="stop" operator="between" showDropDown="false" showErrorMessage="false" showInputMessage="false" sqref="C6" type="list">
      <formula1>"Yes,No"</formula1>
      <formula2>0</formula2>
    </dataValidation>
    <dataValidation allowBlank="false" errorStyle="stop" operator="between" showDropDown="false" showErrorMessage="false" showInputMessage="false" sqref="C7" type="list">
      <formula1>"Yes,No"</formula1>
      <formula2>0</formula2>
    </dataValidation>
    <dataValidation allowBlank="false" errorStyle="stop" operator="between" showDropDown="false" showErrorMessage="false" showInputMessage="false" sqref="C8" type="list">
      <formula1>"Yes,No"</formula1>
      <formula2>0</formula2>
    </dataValidation>
    <dataValidation allowBlank="false" errorStyle="stop" operator="between" showDropDown="false" showErrorMessage="false" showInputMessage="false" sqref="C9" type="list">
      <formula1>"Yes,No"</formula1>
      <formula2>0</formula2>
    </dataValidation>
    <dataValidation allowBlank="false" errorStyle="stop" operator="between" showDropDown="false" showErrorMessage="false" showInputMessage="false" sqref="C10" type="list">
      <formula1>"Yes,No"</formula1>
      <formula2>0</formula2>
    </dataValidation>
    <dataValidation allowBlank="false" errorStyle="stop" operator="between" showDropDown="false" showErrorMessage="false" showInputMessage="false" sqref="C11" type="list">
      <formula1>"Yes,No"</formula1>
      <formula2>0</formula2>
    </dataValidation>
  </dataValidations>
  <printOptions headings="false" gridLines="false" gridLinesSet="true" horizontalCentered="false" verticalCentered="false"/>
  <pageMargins left="0.3" right="0.3" top="0.4" bottom="0.4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G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8"/>
    <col collapsed="false" customWidth="true" hidden="false" outlineLevel="0" max="3" min="3" style="0" width="40"/>
    <col collapsed="false" customWidth="true" hidden="false" outlineLevel="0" max="4" min="4" style="0" width="3"/>
    <col collapsed="false" customWidth="true" hidden="false" outlineLevel="0" max="5" min="5" style="0" width="28"/>
    <col collapsed="false" customWidth="true" hidden="false" outlineLevel="0" max="6" min="6" style="0" width="30"/>
    <col collapsed="false" customWidth="true" hidden="false" outlineLevel="0" max="7" min="7" style="0" width="16"/>
  </cols>
  <sheetData>
    <row r="1" customFormat="false" ht="30" hidden="false" customHeight="true" outlineLevel="0" collapsed="false">
      <c r="A1" s="1" t="s">
        <v>23</v>
      </c>
      <c r="B1" s="1"/>
      <c r="C1" s="1"/>
      <c r="D1" s="1"/>
      <c r="E1" s="1"/>
      <c r="F1" s="1"/>
      <c r="G1" s="1"/>
    </row>
    <row r="2" customFormat="false" ht="19.5" hidden="false" customHeight="true" outlineLevel="0" collapsed="false">
      <c r="A2" s="2" t="s">
        <v>97</v>
      </c>
      <c r="B2" s="2"/>
      <c r="C2" s="2"/>
      <c r="D2" s="2"/>
      <c r="E2" s="2"/>
      <c r="F2" s="2"/>
      <c r="G2" s="2"/>
    </row>
    <row r="3" customFormat="false" ht="15" hidden="false" customHeight="false" outlineLevel="0" collapsed="false">
      <c r="E3" s="3" t="s">
        <v>98</v>
      </c>
      <c r="F3" s="3" t="s">
        <v>99</v>
      </c>
      <c r="G3" s="3" t="s">
        <v>100</v>
      </c>
    </row>
    <row r="4" customFormat="false" ht="15" hidden="false" customHeight="false" outlineLevel="0" collapsed="false">
      <c r="B4" s="11" t="s">
        <v>98</v>
      </c>
      <c r="C4" s="12" t="s">
        <v>101</v>
      </c>
      <c r="E4" s="13" t="s">
        <v>102</v>
      </c>
      <c r="F4" s="14" t="s">
        <v>103</v>
      </c>
      <c r="G4" s="13" t="s">
        <v>85</v>
      </c>
    </row>
    <row r="5" customFormat="false" ht="15" hidden="false" customHeight="false" outlineLevel="0" collapsed="false">
      <c r="B5" s="11" t="s">
        <v>104</v>
      </c>
      <c r="C5" s="12" t="s">
        <v>70</v>
      </c>
      <c r="E5" s="13" t="s">
        <v>105</v>
      </c>
      <c r="F5" s="14" t="s">
        <v>106</v>
      </c>
      <c r="G5" s="13" t="s">
        <v>70</v>
      </c>
    </row>
    <row r="6" customFormat="false" ht="15" hidden="false" customHeight="false" outlineLevel="0" collapsed="false">
      <c r="B6" s="11" t="s">
        <v>107</v>
      </c>
      <c r="C6" s="12" t="s">
        <v>85</v>
      </c>
      <c r="E6" s="13" t="s">
        <v>101</v>
      </c>
      <c r="F6" s="14" t="s">
        <v>108</v>
      </c>
      <c r="G6" s="13" t="s">
        <v>70</v>
      </c>
    </row>
    <row r="7" customFormat="false" ht="15" hidden="false" customHeight="false" outlineLevel="0" collapsed="false">
      <c r="B7" s="11" t="s">
        <v>109</v>
      </c>
      <c r="C7" s="12" t="s">
        <v>85</v>
      </c>
      <c r="E7" s="13" t="s">
        <v>110</v>
      </c>
      <c r="F7" s="14" t="s">
        <v>111</v>
      </c>
      <c r="G7" s="13" t="s">
        <v>70</v>
      </c>
    </row>
    <row r="9" customFormat="false" ht="15" hidden="false" customHeight="false" outlineLevel="0" collapsed="false">
      <c r="B9" s="11" t="s">
        <v>112</v>
      </c>
      <c r="C9" s="16" t="str">
        <f aca="false">IF(C5="Yes","us."&amp;VLOOKUP(C4,$E$4:$G$7,2,0),VLOOKUP(C4,$E$4:$G$7,2,0))</f>
        <v>anthropic.claude-haiku-4-5</v>
      </c>
    </row>
    <row r="10" customFormat="false" ht="39.75" hidden="false" customHeight="true" outlineLevel="0" collapsed="false">
      <c r="B10" s="11" t="s">
        <v>113</v>
      </c>
      <c r="C10" s="17" t="str">
        <f aca="false">IF(C7="No","BLOCKED: daily-token quota is 0. Your code is fine - request a quota increase / AWS Support.",IF(AND(VLOOKUP(C4,$E$4:$G$7,3,0)="No",C5="No"),"FAILS: ValidationException. Add the us. inference-profile prefix.",IF(C6="No","RISKY: no maxTokens. Bedrock reserves against max output and can trip limits. Set maxTokens.","WORKS: this call should succeed.")))</f>
        <v>FAILS: ValidationException. Add the us. inference-profile prefix.</v>
      </c>
    </row>
    <row r="12" customFormat="false" ht="23.85" hidden="false" customHeight="true" outlineLevel="0" collapsed="false">
      <c r="A12" s="10" t="s">
        <v>114</v>
      </c>
      <c r="B12" s="10"/>
      <c r="C12" s="10"/>
      <c r="D12" s="10"/>
      <c r="E12" s="10"/>
      <c r="F12" s="10"/>
      <c r="G12" s="10"/>
    </row>
  </sheetData>
  <mergeCells count="3">
    <mergeCell ref="A1:G1"/>
    <mergeCell ref="A2:G2"/>
    <mergeCell ref="A12:G12"/>
  </mergeCells>
  <conditionalFormatting sqref="C10">
    <cfRule type="expression" priority="2" aboveAverage="0" equalAverage="0" bottom="0" percent="0" rank="0" text="" dxfId="2">
      <formula>LEFT($C$10,5)="WORKS"</formula>
    </cfRule>
    <cfRule type="expression" priority="3" aboveAverage="0" equalAverage="0" bottom="0" percent="0" rank="0" text="" dxfId="0">
      <formula>LEFT($C$10,5)="RISKY"</formula>
    </cfRule>
    <cfRule type="expression" priority="4" aboveAverage="0" equalAverage="0" bottom="0" percent="0" rank="0" text="" dxfId="3">
      <formula>OR(LEFT($C$10,5)="FAILS",LEFT($C$10,7)="BLOCKED")</formula>
    </cfRule>
  </conditionalFormatting>
  <dataValidations count="4">
    <dataValidation allowBlank="false" errorStyle="stop" operator="between" showDropDown="false" showErrorMessage="false" showInputMessage="false" sqref="C4" type="list">
      <formula1>$E$4:$E$7</formula1>
      <formula2>0</formula2>
    </dataValidation>
    <dataValidation allowBlank="false" errorStyle="stop" operator="between" showDropDown="false" showErrorMessage="false" showInputMessage="false" sqref="C5" type="list">
      <formula1>"Yes,No"</formula1>
      <formula2>0</formula2>
    </dataValidation>
    <dataValidation allowBlank="false" errorStyle="stop" operator="between" showDropDown="false" showErrorMessage="false" showInputMessage="false" sqref="C6" type="list">
      <formula1>"Yes,No"</formula1>
      <formula2>0</formula2>
    </dataValidation>
    <dataValidation allowBlank="false" errorStyle="stop" operator="between" showDropDown="false" showErrorMessage="false" showInputMessage="false" sqref="C7" type="list">
      <formula1>"Yes,No"</formula1>
      <formula2>0</formula2>
    </dataValidation>
  </dataValidations>
  <printOptions headings="false" gridLines="false" gridLinesSet="true" horizontalCentered="false" verticalCentered="false"/>
  <pageMargins left="0.3" right="0.3" top="0.4" bottom="0.4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G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0"/>
    <col collapsed="false" customWidth="true" hidden="false" outlineLevel="0" max="3" min="3" style="0" width="52"/>
    <col collapsed="false" customWidth="true" hidden="false" outlineLevel="0" max="4" min="4" style="0" width="3"/>
    <col collapsed="false" customWidth="true" hidden="false" outlineLevel="0" max="5" min="5" style="0" width="30"/>
    <col collapsed="false" customWidth="true" hidden="false" outlineLevel="0" max="6" min="6" style="0" width="52"/>
  </cols>
  <sheetData>
    <row r="1" customFormat="false" ht="30" hidden="false" customHeight="true" outlineLevel="0" collapsed="false">
      <c r="A1" s="1" t="s">
        <v>115</v>
      </c>
      <c r="B1" s="1"/>
      <c r="C1" s="1"/>
      <c r="D1" s="1"/>
      <c r="E1" s="1"/>
      <c r="F1" s="1"/>
    </row>
    <row r="2" customFormat="false" ht="19.5" hidden="false" customHeight="true" outlineLevel="0" collapsed="false">
      <c r="A2" s="2" t="s">
        <v>116</v>
      </c>
      <c r="B2" s="2"/>
      <c r="C2" s="2"/>
      <c r="D2" s="2"/>
      <c r="E2" s="2"/>
      <c r="F2" s="2"/>
    </row>
    <row r="3" customFormat="false" ht="15" hidden="false" customHeight="false" outlineLevel="0" collapsed="false">
      <c r="E3" s="3" t="s">
        <v>117</v>
      </c>
      <c r="F3" s="3" t="s">
        <v>118</v>
      </c>
      <c r="G3" s="3" t="s">
        <v>119</v>
      </c>
    </row>
    <row r="4" customFormat="false" ht="15" hidden="false" customHeight="false" outlineLevel="0" collapsed="false">
      <c r="B4" s="11" t="s">
        <v>120</v>
      </c>
      <c r="C4" s="12" t="s">
        <v>121</v>
      </c>
      <c r="E4" s="13" t="s">
        <v>121</v>
      </c>
      <c r="F4" s="14" t="s">
        <v>122</v>
      </c>
      <c r="G4" s="13" t="s">
        <v>123</v>
      </c>
    </row>
    <row r="5" customFormat="false" ht="15" hidden="false" customHeight="false" outlineLevel="0" collapsed="false">
      <c r="E5" s="13" t="s">
        <v>124</v>
      </c>
      <c r="F5" s="14" t="s">
        <v>125</v>
      </c>
      <c r="G5" s="13" t="s">
        <v>126</v>
      </c>
    </row>
    <row r="6" customFormat="false" ht="30" hidden="false" customHeight="true" outlineLevel="0" collapsed="false">
      <c r="B6" s="11" t="s">
        <v>118</v>
      </c>
      <c r="C6" s="20" t="str">
        <f aca="false">VLOOKUP(C4,$E$4:$G$9,2,0)</f>
        <v>resp["output"]["message"]["content"][0]["text"]</v>
      </c>
      <c r="E6" s="13" t="s">
        <v>127</v>
      </c>
      <c r="F6" s="14" t="s">
        <v>128</v>
      </c>
      <c r="G6" s="13" t="s">
        <v>129</v>
      </c>
    </row>
    <row r="7" customFormat="false" ht="24" hidden="false" customHeight="true" outlineLevel="0" collapsed="false">
      <c r="B7" s="11" t="s">
        <v>130</v>
      </c>
      <c r="C7" s="17" t="str">
        <f aca="false">VLOOKUP(C4,$E$4:$G$9,3,0)</f>
        <v>the model's text (a string)</v>
      </c>
      <c r="E7" s="13" t="s">
        <v>131</v>
      </c>
      <c r="F7" s="14" t="s">
        <v>132</v>
      </c>
      <c r="G7" s="13" t="s">
        <v>133</v>
      </c>
    </row>
    <row r="8" customFormat="false" ht="15" hidden="false" customHeight="false" outlineLevel="0" collapsed="false">
      <c r="E8" s="13" t="s">
        <v>134</v>
      </c>
      <c r="F8" s="14" t="s">
        <v>135</v>
      </c>
      <c r="G8" s="13" t="s">
        <v>136</v>
      </c>
    </row>
    <row r="9" customFormat="false" ht="15" hidden="false" customHeight="true" outlineLevel="0" collapsed="false">
      <c r="A9" s="21" t="s">
        <v>137</v>
      </c>
      <c r="B9" s="21"/>
      <c r="C9" s="21"/>
      <c r="D9" s="21"/>
      <c r="E9" s="21"/>
      <c r="F9" s="21"/>
      <c r="G9" s="13" t="s">
        <v>138</v>
      </c>
    </row>
  </sheetData>
  <mergeCells count="3">
    <mergeCell ref="A1:F1"/>
    <mergeCell ref="A2:F2"/>
    <mergeCell ref="A9:F9"/>
  </mergeCells>
  <dataValidations count="1">
    <dataValidation allowBlank="false" errorStyle="stop" operator="between" showDropDown="false" showErrorMessage="false" showInputMessage="false" sqref="C4" type="list">
      <formula1>$E$4:$E$9</formula1>
      <formula2>0</formula2>
    </dataValidation>
  </dataValidations>
  <printOptions headings="false" gridLines="false" gridLinesSet="true" horizontalCentered="false" verticalCentered="false"/>
  <pageMargins left="0.3" right="0.3" top="0.4" bottom="0.4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4"/>
    <col collapsed="false" customWidth="true" hidden="false" outlineLevel="0" max="3" min="3" style="0" width="22"/>
    <col collapsed="false" customWidth="true" hidden="false" outlineLevel="0" max="4" min="4" style="0" width="3"/>
    <col collapsed="false" customWidth="true" hidden="false" outlineLevel="0" max="5" min="5" style="0" width="26"/>
    <col collapsed="false" customWidth="true" hidden="false" outlineLevel="0" max="7" min="6" style="0" width="12"/>
    <col collapsed="false" customWidth="true" hidden="false" outlineLevel="0" max="8" min="8" style="0" width="14"/>
  </cols>
  <sheetData>
    <row r="1" customFormat="false" ht="30" hidden="false" customHeight="true" outlineLevel="0" collapsed="false">
      <c r="A1" s="1" t="s">
        <v>139</v>
      </c>
      <c r="B1" s="1"/>
      <c r="C1" s="1"/>
      <c r="D1" s="1"/>
      <c r="E1" s="1"/>
      <c r="F1" s="1"/>
      <c r="G1" s="1"/>
      <c r="H1" s="1"/>
    </row>
    <row r="2" customFormat="false" ht="19.5" hidden="false" customHeight="true" outlineLevel="0" collapsed="false">
      <c r="A2" s="2" t="s">
        <v>140</v>
      </c>
      <c r="B2" s="2"/>
      <c r="C2" s="2"/>
      <c r="D2" s="2"/>
      <c r="E2" s="2"/>
      <c r="F2" s="2"/>
      <c r="G2" s="2"/>
      <c r="H2" s="2"/>
    </row>
    <row r="3" customFormat="false" ht="15" hidden="false" customHeight="false" outlineLevel="0" collapsed="false">
      <c r="E3" s="3" t="s">
        <v>41</v>
      </c>
      <c r="F3" s="3" t="s">
        <v>141</v>
      </c>
      <c r="G3" s="3" t="s">
        <v>142</v>
      </c>
      <c r="H3" s="3" t="s">
        <v>143</v>
      </c>
    </row>
    <row r="4" customFormat="false" ht="15" hidden="false" customHeight="false" outlineLevel="0" collapsed="false">
      <c r="B4" s="11" t="s">
        <v>144</v>
      </c>
      <c r="C4" s="12" t="s">
        <v>145</v>
      </c>
      <c r="E4" s="13" t="s">
        <v>145</v>
      </c>
      <c r="F4" s="13" t="n">
        <v>0</v>
      </c>
      <c r="G4" s="13" t="n">
        <v>0.3</v>
      </c>
      <c r="H4" s="13" t="n">
        <v>150</v>
      </c>
    </row>
    <row r="5" customFormat="false" ht="15" hidden="false" customHeight="false" outlineLevel="0" collapsed="false">
      <c r="B5" s="11" t="s">
        <v>146</v>
      </c>
      <c r="C5" s="12" t="n">
        <v>0.7</v>
      </c>
      <c r="E5" s="13" t="s">
        <v>147</v>
      </c>
      <c r="F5" s="13" t="n">
        <v>0</v>
      </c>
      <c r="G5" s="13" t="n">
        <v>0.2</v>
      </c>
      <c r="H5" s="13" t="n">
        <v>50</v>
      </c>
    </row>
    <row r="6" customFormat="false" ht="15" hidden="false" customHeight="false" outlineLevel="0" collapsed="false">
      <c r="B6" s="11" t="s">
        <v>148</v>
      </c>
      <c r="C6" s="12" t="n">
        <v>150</v>
      </c>
      <c r="E6" s="13" t="s">
        <v>149</v>
      </c>
      <c r="F6" s="13" t="n">
        <v>0.6</v>
      </c>
      <c r="G6" s="13" t="n">
        <v>1</v>
      </c>
      <c r="H6" s="13" t="n">
        <v>300</v>
      </c>
    </row>
    <row r="7" customFormat="false" ht="15" hidden="false" customHeight="false" outlineLevel="0" collapsed="false">
      <c r="E7" s="13" t="s">
        <v>150</v>
      </c>
      <c r="F7" s="13" t="n">
        <v>0.7</v>
      </c>
      <c r="G7" s="13" t="n">
        <v>1</v>
      </c>
      <c r="H7" s="13" t="n">
        <v>800</v>
      </c>
    </row>
    <row r="8" customFormat="false" ht="15" hidden="false" customHeight="false" outlineLevel="0" collapsed="false">
      <c r="B8" s="11" t="s">
        <v>151</v>
      </c>
      <c r="C8" s="17" t="str">
        <f aca="false">IF(AND(C5&gt;=VLOOKUP(C4,$E$4:$H$7,2,0),C5&lt;=VLOOKUP(C4,$E$4:$H$7,3,0)),"fits the task",IF(C5&lt;VLOOKUP(C4,$E$4:$H$7,2,0),"too rigid for this","too random for this"))</f>
        <v>too random for this</v>
      </c>
    </row>
    <row r="9" customFormat="false" ht="15" hidden="false" customHeight="false" outlineLevel="0" collapsed="false">
      <c r="B9" s="11" t="s">
        <v>152</v>
      </c>
      <c r="C9" s="17" t="str">
        <f aca="false">IF(C6&gt;=VLOOKUP(C4,$E$4:$H$7,4,0),"enough room","risk of truncation")</f>
        <v>enough room</v>
      </c>
    </row>
    <row r="10" customFormat="false" ht="15" hidden="false" customHeight="false" outlineLevel="0" collapsed="false">
      <c r="B10" s="11" t="s">
        <v>94</v>
      </c>
      <c r="C10" s="15" t="str">
        <f aca="false">IF(AND(C8="fits the task",C9="enough room"),"Good config","Tweak it")</f>
        <v>Tweak it</v>
      </c>
    </row>
    <row r="12" customFormat="false" ht="23.85" hidden="false" customHeight="true" outlineLevel="0" collapsed="false">
      <c r="A12" s="10" t="s">
        <v>153</v>
      </c>
      <c r="B12" s="10"/>
      <c r="C12" s="10"/>
      <c r="D12" s="10"/>
      <c r="E12" s="10"/>
      <c r="F12" s="10"/>
      <c r="G12" s="10"/>
      <c r="H12" s="10"/>
    </row>
  </sheetData>
  <mergeCells count="3">
    <mergeCell ref="A1:H1"/>
    <mergeCell ref="A2:H2"/>
    <mergeCell ref="A12:H12"/>
  </mergeCells>
  <conditionalFormatting sqref="C8">
    <cfRule type="expression" priority="2" aboveAverage="0" equalAverage="0" bottom="0" percent="0" rank="0" text="" dxfId="2">
      <formula>$C$8="fits the task"</formula>
    </cfRule>
    <cfRule type="expression" priority="3" aboveAverage="0" equalAverage="0" bottom="0" percent="0" rank="0" text="" dxfId="3">
      <formula>$C$8&lt;&gt;"fits the task"</formula>
    </cfRule>
  </conditionalFormatting>
  <conditionalFormatting sqref="C9">
    <cfRule type="expression" priority="4" aboveAverage="0" equalAverage="0" bottom="0" percent="0" rank="0" text="" dxfId="2">
      <formula>$C$9="enough room"</formula>
    </cfRule>
    <cfRule type="expression" priority="5" aboveAverage="0" equalAverage="0" bottom="0" percent="0" rank="0" text="" dxfId="0">
      <formula>$C$9&lt;&gt;"enough room"</formula>
    </cfRule>
  </conditionalFormatting>
  <conditionalFormatting sqref="C10">
    <cfRule type="expression" priority="6" aboveAverage="0" equalAverage="0" bottom="0" percent="0" rank="0" text="" dxfId="2">
      <formula>$C$10="Good config"</formula>
    </cfRule>
    <cfRule type="expression" priority="7" aboveAverage="0" equalAverage="0" bottom="0" percent="0" rank="0" text="" dxfId="0">
      <formula>$C$10="Tweak it"</formula>
    </cfRule>
  </conditionalFormatting>
  <dataValidations count="3">
    <dataValidation allowBlank="false" errorStyle="stop" operator="between" showDropDown="false" showErrorMessage="false" showInputMessage="false" sqref="C4" type="list">
      <formula1>$E$4:$E$7</formula1>
      <formula2>0</formula2>
    </dataValidation>
    <dataValidation allowBlank="false" errorStyle="stop" operator="between" showDropDown="false" showErrorMessage="false" showInputMessage="false" sqref="C5" type="list">
      <formula1>"0,0.3,0.7,1"</formula1>
      <formula2>0</formula2>
    </dataValidation>
    <dataValidation allowBlank="false" errorStyle="stop" operator="between" showDropDown="false" showErrorMessage="false" showInputMessage="false" sqref="C6" type="list">
      <formula1>"50,150,300,1000"</formula1>
      <formula2>0</formula2>
    </dataValidation>
  </dataValidations>
  <printOptions headings="false" gridLines="false" gridLinesSet="true" horizontalCentered="false" verticalCentered="false"/>
  <pageMargins left="0.3" right="0.3" top="0.4" bottom="0.4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G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8"/>
    <col collapsed="false" customWidth="true" hidden="false" outlineLevel="0" max="3" min="3" style="0" width="48"/>
    <col collapsed="false" customWidth="true" hidden="false" outlineLevel="0" max="4" min="4" style="0" width="3"/>
    <col collapsed="false" customWidth="true" hidden="false" outlineLevel="0" max="5" min="5" style="0" width="42"/>
    <col collapsed="false" customWidth="true" hidden="false" outlineLevel="0" max="6" min="6" style="0" width="40"/>
    <col collapsed="false" customWidth="true" hidden="false" outlineLevel="0" max="7" min="7" style="0" width="46"/>
  </cols>
  <sheetData>
    <row r="1" customFormat="false" ht="30" hidden="false" customHeight="true" outlineLevel="0" collapsed="false">
      <c r="A1" s="1" t="s">
        <v>154</v>
      </c>
      <c r="B1" s="1"/>
      <c r="C1" s="1"/>
      <c r="D1" s="1"/>
      <c r="E1" s="1"/>
    </row>
    <row r="2" customFormat="false" ht="19.5" hidden="false" customHeight="true" outlineLevel="0" collapsed="false">
      <c r="A2" s="2" t="s">
        <v>155</v>
      </c>
      <c r="B2" s="2"/>
      <c r="C2" s="2"/>
      <c r="D2" s="2"/>
      <c r="E2" s="2"/>
    </row>
    <row r="3" customFormat="false" ht="15" hidden="false" customHeight="false" outlineLevel="0" collapsed="false">
      <c r="E3" s="3" t="s">
        <v>156</v>
      </c>
      <c r="F3" s="3" t="s">
        <v>157</v>
      </c>
      <c r="G3" s="3" t="s">
        <v>158</v>
      </c>
    </row>
    <row r="4" customFormat="false" ht="39.75" hidden="false" customHeight="true" outlineLevel="0" collapsed="false">
      <c r="B4" s="11" t="s">
        <v>159</v>
      </c>
      <c r="C4" s="12" t="s">
        <v>160</v>
      </c>
      <c r="E4" s="22" t="s">
        <v>160</v>
      </c>
      <c r="F4" s="22" t="s">
        <v>161</v>
      </c>
      <c r="G4" s="22" t="s">
        <v>162</v>
      </c>
    </row>
    <row r="5" customFormat="false" ht="39.75" hidden="false" customHeight="true" outlineLevel="0" collapsed="false">
      <c r="E5" s="22" t="s">
        <v>163</v>
      </c>
      <c r="F5" s="22" t="s">
        <v>164</v>
      </c>
      <c r="G5" s="22" t="s">
        <v>165</v>
      </c>
    </row>
    <row r="6" customFormat="false" ht="43.5" hidden="false" customHeight="true" outlineLevel="0" collapsed="false">
      <c r="B6" s="11" t="s">
        <v>157</v>
      </c>
      <c r="C6" s="23" t="str">
        <f aca="false">VLOOKUP(C4,$E$4:$G$10,2,0)</f>
        <v>Account daily-token quota is ~0 (provisioning). NOT your code or your credits.</v>
      </c>
      <c r="E6" s="22" t="s">
        <v>166</v>
      </c>
      <c r="F6" s="22" t="s">
        <v>167</v>
      </c>
      <c r="G6" s="22" t="s">
        <v>168</v>
      </c>
    </row>
    <row r="7" customFormat="false" ht="43.5" hidden="false" customHeight="true" outlineLevel="0" collapsed="false">
      <c r="B7" s="11" t="s">
        <v>158</v>
      </c>
      <c r="C7" s="24" t="str">
        <f aca="false">VLOOKUP(C4,$E$4:$G$10,3,0)</f>
        <v>Service Quotas -&gt; request increase; open AWS Support with the x-amzn-requestid + a screenshot of the 0 quota.</v>
      </c>
      <c r="E7" s="22" t="s">
        <v>169</v>
      </c>
      <c r="F7" s="22" t="s">
        <v>170</v>
      </c>
      <c r="G7" s="22" t="s">
        <v>171</v>
      </c>
    </row>
    <row r="8" customFormat="false" ht="39.75" hidden="false" customHeight="true" outlineLevel="0" collapsed="false">
      <c r="E8" s="22" t="s">
        <v>172</v>
      </c>
      <c r="F8" s="22" t="s">
        <v>173</v>
      </c>
      <c r="G8" s="22" t="s">
        <v>174</v>
      </c>
    </row>
    <row r="9" customFormat="false" ht="39.75" hidden="false" customHeight="true" outlineLevel="0" collapsed="false">
      <c r="E9" s="22" t="s">
        <v>175</v>
      </c>
      <c r="F9" s="22" t="s">
        <v>176</v>
      </c>
      <c r="G9" s="22" t="s">
        <v>177</v>
      </c>
    </row>
    <row r="10" customFormat="false" ht="39.75" hidden="false" customHeight="true" outlineLevel="0" collapsed="false">
      <c r="E10" s="22" t="s">
        <v>178</v>
      </c>
      <c r="F10" s="22" t="s">
        <v>179</v>
      </c>
      <c r="G10" s="22" t="s">
        <v>180</v>
      </c>
    </row>
    <row r="12" customFormat="false" ht="15" hidden="false" customHeight="true" outlineLevel="0" collapsed="false">
      <c r="A12" s="10" t="s">
        <v>181</v>
      </c>
      <c r="B12" s="10"/>
      <c r="C12" s="10"/>
      <c r="D12" s="10"/>
      <c r="E12" s="10"/>
    </row>
  </sheetData>
  <mergeCells count="3">
    <mergeCell ref="A1:E1"/>
    <mergeCell ref="A2:E2"/>
    <mergeCell ref="A12:E12"/>
  </mergeCells>
  <dataValidations count="1">
    <dataValidation allowBlank="false" errorStyle="stop" operator="between" showDropDown="false" showErrorMessage="false" showInputMessage="false" sqref="C4" type="list">
      <formula1>$E$4:$E$10</formula1>
      <formula2>0</formula2>
    </dataValidation>
  </dataValidations>
  <printOptions headings="false" gridLines="false" gridLinesSet="true" horizontalCentered="false" verticalCentered="false"/>
  <pageMargins left="0.3" right="0.3" top="0.4" bottom="0.4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2026-05-29T05:25:04Z</dcterms:created>
  <dc:creator>openpyxl</dc:creator>
  <dc:description/>
  <dc:language>en-US</dc:language>
  <cp:lastModifiedBy/>
  <dcterms:modified xsi:type="dcterms:W3CDTF">2026-05-29T05:25:04Z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