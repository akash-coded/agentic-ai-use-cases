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History Grower" sheetId="2" state="visible" r:id="rId4"/>
    <sheet name="2. Strategy Comparison" sheetId="3" state="visible" r:id="rId5"/>
    <sheet name="3. Sco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<sst xmlns="http://schemas.openxmlformats.org/spreadsheetml/2006/main" count="64" uniqueCount="60">
  <si>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ACTIVITY 2 · AFTER DECK 1</t>
  </si>
  <si>
    <t xml:space="preserve">Conversation Cost Simulator</t>
  </si>
  <si>
    <t xml:space="preserve">See what stateless really costs — and what each strategy saves.</t>
  </si>
  <si>
    <t xml:space="preserve">WHAT YOU'LL DO</t>
  </si>
  <si>
    <t xml:space="preserve">Two activities. (1) Grow a conversation turn by turn and watch tokens compound. (2) Compare four history-management strategies side by side. Final sheet auto-grades your understanding.</t>
  </si>
  <si>
    <t xml:space="preserve">SHEETS IN THIS WORKBOOK</t>
  </si>
  <si>
    <t xml:space="preserve">1. History Grower</t>
  </si>
  <si>
    <t xml:space="preserve">Crank up the turn count and watch input tokens explode.</t>
  </si>
  <si>
    <t xml:space="preserve">2. Strategy Comparison</t>
  </si>
  <si>
    <t xml:space="preserve">Cap, summarize, persist, cache — pick winners.</t>
  </si>
  <si>
    <t xml:space="preserve">3. Score</t>
  </si>
  <si>
    <t xml:space="preserve">Auto-totaled.</t>
  </si>
  <si>
    <t xml:space="preserve">ACTIVITY 2.1</t>
  </si>
  <si>
    <t xml:space="preserve">History Grower — feel the compounding</t>
  </si>
  <si>
    <t xml:space="preserve">Inputs at the top. The table re-computes. Watch cumulative input tokens.</t>
  </si>
  <si>
    <t xml:space="preserve">THE SETUP</t>
  </si>
  <si>
    <t xml:space="preserve">Each turn you send the system prompt + entire prior history + new user message. Change any blue cell. The table grows from turn 1 to turn 10.</t>
  </si>
  <si>
    <t xml:space="preserve">INPUTS</t>
  </si>
  <si>
    <t xml:space="preserve">System prompt tokens</t>
  </si>
  <si>
    <t xml:space="preserve">Avg user message tokens</t>
  </si>
  <si>
    <t xml:space="preserve">Avg assistant response tokens</t>
  </si>
  <si>
    <t xml:space="preserve">Input price $/MTok</t>
  </si>
  <si>
    <t xml:space="preserve">Output price $/MTok</t>
  </si>
  <si>
    <t xml:space="preserve">Turn</t>
  </si>
  <si>
    <t xml:space="preserve">Input tokens this turn</t>
  </si>
  <si>
    <t xml:space="preserve">Output tokens this turn</t>
  </si>
  <si>
    <t xml:space="preserve">Cost this turn ($)</t>
  </si>
  <si>
    <t xml:space="preserve">Cumulative cost ($)</t>
  </si>
  <si>
    <t xml:space="preserve">REFLECTION</t>
  </si>
  <si>
    <t xml:space="preserve">By turn 10, input tokens per call are ~10x larger than turn 1. Why? (Hint: every turn re-sends the entire history).</t>
  </si>
  <si>
    <t xml:space="preserve">QUICK CHECK</t>
  </si>
  <si>
    <t xml:space="preserve">If you doubled the response length, input tokens on turn 10 would:</t>
  </si>
  <si>
    <t xml:space="preserve">(pick)</t>
  </si>
  <si>
    <t xml:space="preserve">Verdict</t>
  </si>
  <si>
    <t xml:space="preserve">Points earned (out of 1)</t>
  </si>
  <si>
    <t xml:space="preserve">ACTIVITY 2.2</t>
  </si>
  <si>
    <t xml:space="preserve">Strategy Comparison</t>
  </si>
  <si>
    <t xml:space="preserve">Match each history-management strategy to the scenario it fits best.</t>
  </si>
  <si>
    <t xml:space="preserve">HOW TO USE</t>
  </si>
  <si>
    <t xml:space="preserve">Pick a strategy from the dropdown that best fits each scenario. Only one strategy is the clear winner per row — but there's reasoning, not a trick.</t>
  </si>
  <si>
    <t xml:space="preserve">Strategy</t>
  </si>
  <si>
    <t xml:space="preserve">Scenario</t>
  </si>
  <si>
    <t xml:space="preserve">Your pick</t>
  </si>
  <si>
    <t xml:space="preserve">Row 1</t>
  </si>
  <si>
    <t xml:space="preserve">System prompt is 5,000 tokens and barely changes. You make 10K calls/day. Cost per call is dominated by re-processing the prompt.</t>
  </si>
  <si>
    <t xml:space="preserve">Row 2</t>
  </si>
  <si>
    <t xml:space="preserve">Chatbot has 100+ turn conversations. You're hitting the 200K context limit.</t>
  </si>
  <si>
    <t xml:space="preserve">Row 3</t>
  </si>
  <si>
    <t xml:space="preserve">Users return next day and expect the bot to remember their prior conversation.</t>
  </si>
  <si>
    <t xml:space="preserve">Row 4</t>
  </si>
  <si>
    <t xml:space="preserve">Long conversations where early context still matters semantically (e.g. project briefs).</t>
  </si>
  <si>
    <t xml:space="preserve">SCORE THIS ACTIVITY</t>
  </si>
  <si>
    <t xml:space="preserve">Points earned (out of 4)</t>
  </si>
  <si>
    <t xml:space="preserve">ACTIVITY 2 · FINAL</t>
  </si>
  <si>
    <t xml:space="preserve">Your Score</t>
  </si>
  <si>
    <t xml:space="preserve">Activity</t>
  </si>
  <si>
    <t xml:space="preserve">Points</t>
  </si>
  <si>
    <t xml:space="preserve">Out of</t>
  </si>
  <si>
    <t xml:space="preserve">Status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</si>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</sst>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0.00"/>
    <numFmt numFmtId="166" formatCode="#,##0"/>
    <numFmt numFmtId="167" formatCode="\$0.000000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.5"/>
      <color rgb="FF3341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b val="true"/>
      <sz val="9"/>
      <color rgb="FF047857"/>
      <name val="Calibri"/>
      <family val="0"/>
      <charset val="1"/>
    </font>
    <font>
      <b val="true"/>
      <sz val="14"/>
      <color rgb="FFB45309"/>
      <name val="Calibri"/>
      <family val="0"/>
      <charset val="1"/>
    </font>
    <font>
      <sz val="10.5"/>
      <color rgb="FF0F172A"/>
      <name val="Calibri"/>
      <family val="0"/>
      <charset val="1"/>
    </font>
    <font>
      <b val="true"/>
      <sz val="18"/>
      <color rgb="FFB45309"/>
      <name val="Calibri"/>
      <family val="0"/>
      <charset val="1"/>
    </font>
    <font>
      <sz val="11"/>
      <color rgb="FF0F172A"/>
      <name val="Calibri"/>
      <family val="0"/>
      <charset val="1"/>
    </font>
    <font>
      <sz val="11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0F172A"/>
        <bgColor rgb="FF000000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8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8" fontId="2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2"/>
  </cols>
  <sheetData>
    <row r="2" customFormat="false" ht="13.5" hidden="false" customHeight="tru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8" hidden="false" customHeight="tru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</row>
    <row r="7" customFormat="false" ht="36" hidden="false" customHeight="true" outlineLevel="0" collapsed="false">
      <c r="B7" s="5" t="s">
        <v>4</v>
      </c>
      <c r="C7" s="5"/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7" t="s">
        <v>6</v>
      </c>
      <c r="C11" s="8" t="s">
        <v>7</v>
      </c>
    </row>
    <row r="12" customFormat="false" ht="15" hidden="false" customHeight="false" outlineLevel="0" collapsed="false">
      <c r="B12" s="7" t="s">
        <v>8</v>
      </c>
      <c r="C12" s="8" t="s">
        <v>9</v>
      </c>
    </row>
    <row r="13" customFormat="false" ht="15" hidden="false" customHeight="false" outlineLevel="0" collapsed="false">
      <c r="B13" s="7" t="s">
        <v>10</v>
      </c>
      <c r="C13" s="8" t="s">
        <v>11</v>
      </c>
    </row>
  </sheetData>
  <mergeCells count="2"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22"/>
    <col collapsed="false" customWidth="true" hidden="false" outlineLevel="0" max="7" min="7" style="0" width="2"/>
  </cols>
  <sheetData>
    <row r="2" customFormat="false" ht="13.5" hidden="false" customHeight="true" outlineLevel="0" collapsed="false">
      <c r="B2" s="1" t="s">
        <v>12</v>
      </c>
    </row>
    <row r="3" customFormat="false" ht="27.75" hidden="false" customHeight="true" outlineLevel="0" collapsed="false">
      <c r="B3" s="2" t="s">
        <v>13</v>
      </c>
    </row>
    <row r="4" customFormat="false" ht="18" hidden="false" customHeight="true" outlineLevel="0" collapsed="false">
      <c r="B4" s="3" t="s">
        <v>14</v>
      </c>
    </row>
    <row r="6" customFormat="false" ht="15" hidden="false" customHeight="false" outlineLevel="0" collapsed="false">
      <c r="B6" s="9" t="s">
        <v>15</v>
      </c>
      <c r="C6" s="9"/>
      <c r="D6" s="9"/>
      <c r="E6" s="9"/>
      <c r="F6" s="9"/>
    </row>
    <row r="7" customFormat="false" ht="36" hidden="false" customHeight="true" outlineLevel="0" collapsed="false">
      <c r="B7" s="10" t="s">
        <v>16</v>
      </c>
      <c r="C7" s="10"/>
      <c r="D7" s="10"/>
      <c r="E7" s="10"/>
      <c r="F7" s="10"/>
    </row>
    <row r="10" customFormat="false" ht="15" hidden="false" customHeight="false" outlineLevel="0" collapsed="false">
      <c r="B10" s="6" t="s">
        <v>17</v>
      </c>
    </row>
    <row r="11" customFormat="false" ht="15" hidden="false" customHeight="false" outlineLevel="0" collapsed="false">
      <c r="B11" s="0" t="s">
        <v>18</v>
      </c>
      <c r="C11" s="11" t="n">
        <v>100</v>
      </c>
    </row>
    <row r="12" customFormat="false" ht="15" hidden="false" customHeight="false" outlineLevel="0" collapsed="false">
      <c r="B12" s="0" t="s">
        <v>19</v>
      </c>
      <c r="C12" s="11" t="n">
        <v>20</v>
      </c>
    </row>
    <row r="13" customFormat="false" ht="15" hidden="false" customHeight="false" outlineLevel="0" collapsed="false">
      <c r="B13" s="0" t="s">
        <v>20</v>
      </c>
      <c r="C13" s="11" t="n">
        <v>80</v>
      </c>
    </row>
    <row r="14" customFormat="false" ht="15" hidden="false" customHeight="false" outlineLevel="0" collapsed="false">
      <c r="B14" s="0" t="s">
        <v>21</v>
      </c>
      <c r="C14" s="12" t="n">
        <v>0.06</v>
      </c>
    </row>
    <row r="15" customFormat="false" ht="15" hidden="false" customHeight="false" outlineLevel="0" collapsed="false">
      <c r="B15" s="0" t="s">
        <v>22</v>
      </c>
      <c r="C15" s="12" t="n">
        <v>0.24</v>
      </c>
    </row>
    <row r="18" customFormat="false" ht="15" hidden="false" customHeight="false" outlineLevel="0" collapsed="false">
      <c r="B18" s="13" t="s">
        <v>23</v>
      </c>
      <c r="C18" s="13" t="s">
        <v>24</v>
      </c>
      <c r="D18" s="13" t="s">
        <v>25</v>
      </c>
      <c r="E18" s="13" t="s">
        <v>26</v>
      </c>
      <c r="F18" s="13" t="s">
        <v>27</v>
      </c>
    </row>
    <row r="19" customFormat="false" ht="15" hidden="false" customHeight="false" outlineLevel="0" collapsed="false">
      <c r="B19" s="14" t="n">
        <v>1</v>
      </c>
      <c r="C19" s="15" t="n">
        <f aca="false">$C$11+(1-1)*($C$12+$C$13)+$C$12</f>
        <v>120</v>
      </c>
      <c r="D19" s="15" t="n">
        <f aca="false">$C$13</f>
        <v>80</v>
      </c>
      <c r="E19" s="16" t="n">
        <f aca="false">(C19/1000000)*$C$14+(D19/1000000)*$C$15</f>
        <v>2.64E-005</v>
      </c>
      <c r="F19" s="17" t="n">
        <f aca="false">E19</f>
        <v>2.64E-005</v>
      </c>
    </row>
    <row r="20" customFormat="false" ht="15" hidden="false" customHeight="false" outlineLevel="0" collapsed="false">
      <c r="B20" s="14" t="n">
        <v>2</v>
      </c>
      <c r="C20" s="15" t="n">
        <f aca="false">$C$11+(2-1)*($C$12+$C$13)+$C$12</f>
        <v>220</v>
      </c>
      <c r="D20" s="15" t="n">
        <f aca="false">$C$13</f>
        <v>80</v>
      </c>
      <c r="E20" s="16" t="n">
        <f aca="false">(C20/1000000)*$C$14+(D20/1000000)*$C$15</f>
        <v>3.24E-005</v>
      </c>
      <c r="F20" s="17" t="n">
        <f aca="false">F19+E20</f>
        <v>5.88E-005</v>
      </c>
    </row>
    <row r="21" customFormat="false" ht="15" hidden="false" customHeight="false" outlineLevel="0" collapsed="false">
      <c r="B21" s="14" t="n">
        <v>3</v>
      </c>
      <c r="C21" s="15" t="n">
        <f aca="false">$C$11+(3-1)*($C$12+$C$13)+$C$12</f>
        <v>320</v>
      </c>
      <c r="D21" s="15" t="n">
        <f aca="false">$C$13</f>
        <v>80</v>
      </c>
      <c r="E21" s="16" t="n">
        <f aca="false">(C21/1000000)*$C$14+(D21/1000000)*$C$15</f>
        <v>3.84E-005</v>
      </c>
      <c r="F21" s="17" t="n">
        <f aca="false">F20+E21</f>
        <v>9.72E-005</v>
      </c>
    </row>
    <row r="22" customFormat="false" ht="15" hidden="false" customHeight="false" outlineLevel="0" collapsed="false">
      <c r="B22" s="14" t="n">
        <v>4</v>
      </c>
      <c r="C22" s="15" t="n">
        <f aca="false">$C$11+(4-1)*($C$12+$C$13)+$C$12</f>
        <v>420</v>
      </c>
      <c r="D22" s="15" t="n">
        <f aca="false">$C$13</f>
        <v>80</v>
      </c>
      <c r="E22" s="16" t="n">
        <f aca="false">(C22/1000000)*$C$14+(D22/1000000)*$C$15</f>
        <v>4.44E-005</v>
      </c>
      <c r="F22" s="17" t="n">
        <f aca="false">F21+E22</f>
        <v>0.0001416</v>
      </c>
    </row>
    <row r="23" customFormat="false" ht="15" hidden="false" customHeight="false" outlineLevel="0" collapsed="false">
      <c r="B23" s="14" t="n">
        <v>5</v>
      </c>
      <c r="C23" s="15" t="n">
        <f aca="false">$C$11+(5-1)*($C$12+$C$13)+$C$12</f>
        <v>520</v>
      </c>
      <c r="D23" s="15" t="n">
        <f aca="false">$C$13</f>
        <v>80</v>
      </c>
      <c r="E23" s="16" t="n">
        <f aca="false">(C23/1000000)*$C$14+(D23/1000000)*$C$15</f>
        <v>5.04E-005</v>
      </c>
      <c r="F23" s="17" t="n">
        <f aca="false">F22+E23</f>
        <v>0.000192</v>
      </c>
    </row>
    <row r="24" customFormat="false" ht="15" hidden="false" customHeight="false" outlineLevel="0" collapsed="false">
      <c r="B24" s="14" t="n">
        <v>6</v>
      </c>
      <c r="C24" s="15" t="n">
        <f aca="false">$C$11+(6-1)*($C$12+$C$13)+$C$12</f>
        <v>620</v>
      </c>
      <c r="D24" s="15" t="n">
        <f aca="false">$C$13</f>
        <v>80</v>
      </c>
      <c r="E24" s="16" t="n">
        <f aca="false">(C24/1000000)*$C$14+(D24/1000000)*$C$15</f>
        <v>5.64E-005</v>
      </c>
      <c r="F24" s="17" t="n">
        <f aca="false">F23+E24</f>
        <v>0.0002484</v>
      </c>
    </row>
    <row r="25" customFormat="false" ht="15" hidden="false" customHeight="false" outlineLevel="0" collapsed="false">
      <c r="B25" s="14" t="n">
        <v>7</v>
      </c>
      <c r="C25" s="15" t="n">
        <f aca="false">$C$11+(7-1)*($C$12+$C$13)+$C$12</f>
        <v>720</v>
      </c>
      <c r="D25" s="15" t="n">
        <f aca="false">$C$13</f>
        <v>80</v>
      </c>
      <c r="E25" s="16" t="n">
        <f aca="false">(C25/1000000)*$C$14+(D25/1000000)*$C$15</f>
        <v>6.24E-005</v>
      </c>
      <c r="F25" s="17" t="n">
        <f aca="false">F24+E25</f>
        <v>0.0003108</v>
      </c>
    </row>
    <row r="26" customFormat="false" ht="15" hidden="false" customHeight="false" outlineLevel="0" collapsed="false">
      <c r="B26" s="14" t="n">
        <v>8</v>
      </c>
      <c r="C26" s="15" t="n">
        <f aca="false">$C$11+(8-1)*($C$12+$C$13)+$C$12</f>
        <v>820</v>
      </c>
      <c r="D26" s="15" t="n">
        <f aca="false">$C$13</f>
        <v>80</v>
      </c>
      <c r="E26" s="16" t="n">
        <f aca="false">(C26/1000000)*$C$14+(D26/1000000)*$C$15</f>
        <v>6.84E-005</v>
      </c>
      <c r="F26" s="17" t="n">
        <f aca="false">F25+E26</f>
        <v>0.0003792</v>
      </c>
    </row>
    <row r="27" customFormat="false" ht="15" hidden="false" customHeight="false" outlineLevel="0" collapsed="false">
      <c r="B27" s="14" t="n">
        <v>9</v>
      </c>
      <c r="C27" s="15" t="n">
        <f aca="false">$C$11+(9-1)*($C$12+$C$13)+$C$12</f>
        <v>920</v>
      </c>
      <c r="D27" s="15" t="n">
        <f aca="false">$C$13</f>
        <v>80</v>
      </c>
      <c r="E27" s="16" t="n">
        <f aca="false">(C27/1000000)*$C$14+(D27/1000000)*$C$15</f>
        <v>7.44E-005</v>
      </c>
      <c r="F27" s="17" t="n">
        <f aca="false">F26+E27</f>
        <v>0.0004536</v>
      </c>
    </row>
    <row r="28" customFormat="false" ht="15" hidden="false" customHeight="false" outlineLevel="0" collapsed="false">
      <c r="B28" s="14" t="n">
        <v>10</v>
      </c>
      <c r="C28" s="15" t="n">
        <f aca="false">$C$11+(10-1)*($C$12+$C$13)+$C$12</f>
        <v>1020</v>
      </c>
      <c r="D28" s="15" t="n">
        <f aca="false">$C$13</f>
        <v>80</v>
      </c>
      <c r="E28" s="16" t="n">
        <f aca="false">(C28/1000000)*$C$14+(D28/1000000)*$C$15</f>
        <v>8.04E-005</v>
      </c>
      <c r="F28" s="17" t="n">
        <f aca="false">F27+E28</f>
        <v>0.000534</v>
      </c>
    </row>
    <row r="30" customFormat="false" ht="15" hidden="false" customHeight="false" outlineLevel="0" collapsed="false">
      <c r="B30" s="18" t="s">
        <v>28</v>
      </c>
      <c r="C30" s="18"/>
      <c r="D30" s="18"/>
      <c r="E30" s="18"/>
      <c r="F30" s="18"/>
    </row>
    <row r="31" customFormat="false" ht="36" hidden="false" customHeight="true" outlineLevel="0" collapsed="false">
      <c r="B31" s="19" t="s">
        <v>29</v>
      </c>
      <c r="C31" s="19"/>
      <c r="D31" s="19"/>
      <c r="E31" s="19"/>
      <c r="F31" s="19"/>
    </row>
    <row r="33" customFormat="false" ht="15" hidden="false" customHeight="false" outlineLevel="0" collapsed="false">
      <c r="B33" s="6" t="s">
        <v>30</v>
      </c>
    </row>
    <row r="34" customFormat="false" ht="28.35" hidden="false" customHeight="true" outlineLevel="0" collapsed="false">
      <c r="B34" s="20" t="s">
        <v>31</v>
      </c>
      <c r="C34" s="20"/>
      <c r="D34" s="20"/>
      <c r="E34" s="21" t="s">
        <v>32</v>
      </c>
    </row>
    <row r="35" customFormat="false" ht="15" hidden="false" customHeight="false" outlineLevel="0" collapsed="false">
      <c r="B35" s="0" t="s">
        <v>33</v>
      </c>
      <c r="C35" s="22" t="str">
        <f aca="false">IF(E34="roughly double","OK — assistant responses are re-sent every turn",IF(E34="(pick)","","Re-read the table — every prior turn (both user and assistant) is in the input"))</f>
        <v/>
      </c>
      <c r="D35" s="22"/>
      <c r="E35" s="22"/>
      <c r="F35" s="22"/>
    </row>
    <row r="37" customFormat="false" ht="17.35" hidden="false" customHeight="false" outlineLevel="0" collapsed="false">
      <c r="B37" s="0" t="s">
        <v>34</v>
      </c>
      <c r="C37" s="23" t="n">
        <f aca="false">IF(LEFT(C35,2)="OK",1,0)</f>
        <v>0</v>
      </c>
    </row>
  </sheetData>
  <mergeCells count="6">
    <mergeCell ref="B6:F6"/>
    <mergeCell ref="B7:F7"/>
    <mergeCell ref="B30:F30"/>
    <mergeCell ref="B31:F31"/>
    <mergeCell ref="B34:D34"/>
    <mergeCell ref="C35:F35"/>
  </mergeCells>
  <conditionalFormatting sqref="C19:C28">
    <cfRule type="colorScale" priority="2">
      <colorScale>
        <cfvo type="min" val="0"/>
        <cfvo type="percentile" val="50"/>
        <cfvo type="max" val="0"/>
        <color rgb="FFF8FAFC"/>
        <color rgb="FFFEF3C7"/>
        <color rgb="FFFED7AA"/>
      </colorScale>
    </cfRule>
  </conditionalFormatting>
  <conditionalFormatting sqref="C35:F35">
    <cfRule type="expression" priority="3" aboveAverage="0" equalAverage="0" bottom="0" percent="0" rank="0" text="" dxfId="0">
      <formula>LEFT($C35,2)="OK"</formula>
    </cfRule>
    <cfRule type="expression" priority="4" aboveAverage="0" equalAverage="0" bottom="0" percent="0" rank="0" text="" dxfId="1">
      <formula>AND(LEFT($C35,2)&lt;&gt;"OK", $C35&lt;&gt;"")</formula>
    </cfRule>
  </conditionalFormatting>
  <dataValidations count="1">
    <dataValidation allowBlank="true" errorStyle="stop" operator="between" showDropDown="false" showErrorMessage="false" showInputMessage="false" sqref="E34" type="list">
      <formula1>"(pick),roughly double,roughly stay the same,roughly halve"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35</v>
      </c>
    </row>
    <row r="3" customFormat="false" ht="27.75" hidden="false" customHeight="true" outlineLevel="0" collapsed="false">
      <c r="B3" s="2" t="s">
        <v>36</v>
      </c>
    </row>
    <row r="4" customFormat="false" ht="18" hidden="false" customHeight="true" outlineLevel="0" collapsed="false">
      <c r="B4" s="3" t="s">
        <v>37</v>
      </c>
    </row>
    <row r="6" customFormat="false" ht="15" hidden="false" customHeight="false" outlineLevel="0" collapsed="false">
      <c r="B6" s="9" t="s">
        <v>38</v>
      </c>
      <c r="C6" s="9"/>
      <c r="D6" s="9"/>
      <c r="E6" s="9"/>
    </row>
    <row r="7" customFormat="false" ht="36" hidden="false" customHeight="true" outlineLevel="0" collapsed="false">
      <c r="B7" s="10" t="s">
        <v>39</v>
      </c>
      <c r="C7" s="10"/>
      <c r="D7" s="10"/>
      <c r="E7" s="10"/>
    </row>
    <row r="10" customFormat="false" ht="15" hidden="false" customHeight="false" outlineLevel="0" collapsed="false">
      <c r="B10" s="24" t="s">
        <v>40</v>
      </c>
      <c r="C10" s="24" t="s">
        <v>41</v>
      </c>
      <c r="D10" s="24" t="s">
        <v>42</v>
      </c>
      <c r="E10" s="24" t="s">
        <v>33</v>
      </c>
    </row>
    <row r="11" customFormat="false" ht="49.5" hidden="false" customHeight="true" outlineLevel="0" collapsed="false">
      <c r="B11" s="25" t="s">
        <v>43</v>
      </c>
      <c r="C11" s="26" t="s">
        <v>44</v>
      </c>
      <c r="D11" s="27"/>
      <c r="E11" s="28" t="str">
        <f aca="false">IF(D11="Prompt caching","OK — Caching the stable system-prompt prefix saves the most when it's large and constant.",IF(D11="","","Not the best fit — think about what changes turn over turn"))</f>
        <v/>
      </c>
    </row>
    <row r="12" customFormat="false" ht="49.5" hidden="false" customHeight="true" outlineLevel="0" collapsed="false">
      <c r="B12" s="25" t="s">
        <v>45</v>
      </c>
      <c r="C12" s="26" t="s">
        <v>46</v>
      </c>
      <c r="D12" s="27"/>
      <c r="E12" s="28" t="str">
        <f aca="false">IF(D12="Cap history (last N)","OK — Hard cap is the simplest fix when the failure mode is window exhaustion.",IF(D12="","","Not the best fit — think about what changes turn over turn"))</f>
        <v/>
      </c>
    </row>
    <row r="13" customFormat="false" ht="49.5" hidden="false" customHeight="true" outlineLevel="0" collapsed="false">
      <c r="B13" s="25" t="s">
        <v>47</v>
      </c>
      <c r="C13" s="26" t="s">
        <v>48</v>
      </c>
      <c r="D13" s="27"/>
      <c r="E13" s="28" t="str">
        <f aca="false">IF(D13="Persist to database","OK — Across sessions, only a datastore survives. Cap, summarize, cache all assume one session.",IF(D13="","","Not the best fit — think about what changes turn over turn"))</f>
        <v/>
      </c>
    </row>
    <row r="14" customFormat="false" ht="49.5" hidden="false" customHeight="true" outlineLevel="0" collapsed="false">
      <c r="B14" s="25" t="s">
        <v>49</v>
      </c>
      <c r="C14" s="26" t="s">
        <v>50</v>
      </c>
      <c r="D14" s="27"/>
      <c r="E14" s="28" t="str">
        <f aca="false">IF(D14="Summarize old turns","OK — A rolling summary keeps semantic context cheap; capping would lose the brief.",IF(D14="","","Not the best fit — think about what changes turn over turn"))</f>
        <v/>
      </c>
    </row>
    <row r="17" customFormat="false" ht="15" hidden="false" customHeight="false" outlineLevel="0" collapsed="false">
      <c r="B17" s="6" t="s">
        <v>51</v>
      </c>
    </row>
    <row r="18" customFormat="false" ht="22.05" hidden="false" customHeight="false" outlineLevel="0" collapsed="false">
      <c r="B18" s="0" t="s">
        <v>52</v>
      </c>
      <c r="C18" s="29" t="n">
        <f aca="false">COUNTIF(E11:E14,"OK*")</f>
        <v>0</v>
      </c>
    </row>
  </sheetData>
  <mergeCells count="2">
    <mergeCell ref="B6:E6"/>
    <mergeCell ref="B7:E7"/>
  </mergeCells>
  <conditionalFormatting sqref="E11:E14">
    <cfRule type="expression" priority="2" aboveAverage="0" equalAverage="0" bottom="0" percent="0" rank="0" text="" dxfId="0">
      <formula>LEFT($E11,2)="OK"</formula>
    </cfRule>
    <cfRule type="expression" priority="3" aboveAverage="0" equalAverage="0" bottom="0" percent="0" rank="0" text="" dxfId="1">
      <formula>AND(LEFT($E11,2)&lt;&gt;"OK", $E11&lt;&gt;"")</formula>
    </cfRule>
  </conditionalFormatting>
  <dataValidations count="1">
    <dataValidation allowBlank="true" errorStyle="stop" operator="between" showDropDown="false" showErrorMessage="false" showInputMessage="false" sqref="D11:D14" type="list">
      <formula1>"Cap history (last N),Summarize old turns,Persist to database,Prompt caching"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53</v>
      </c>
    </row>
    <row r="3" customFormat="false" ht="27.75" hidden="false" customHeight="true" outlineLevel="0" collapsed="false">
      <c r="B3" s="2" t="s">
        <v>54</v>
      </c>
    </row>
    <row r="4" customFormat="false" ht="18" hidden="false" customHeight="true" outlineLevel="0" collapsed="false">
      <c r="B4" s="3" t="s">
        <v>11</v>
      </c>
    </row>
    <row r="10" customFormat="false" ht="15" hidden="false" customHeight="false" outlineLevel="0" collapsed="false">
      <c r="B10" s="24" t="s">
        <v>55</v>
      </c>
      <c r="C10" s="24" t="s">
        <v>56</v>
      </c>
      <c r="D10" s="24" t="s">
        <v>57</v>
      </c>
      <c r="E10" s="24" t="s">
        <v>58</v>
      </c>
    </row>
    <row r="11" customFormat="false" ht="15" hidden="false" customHeight="false" outlineLevel="0" collapsed="false">
      <c r="B11" s="30" t="s">
        <v>6</v>
      </c>
      <c r="C11" s="14" t="n">
        <f aca="false">'1. History Grower'!C37</f>
        <v>0</v>
      </c>
      <c r="D11" s="31" t="n">
        <v>1</v>
      </c>
      <c r="E11" s="32" t="str">
        <f aca="false">IF(C11=D11,"Complete",IF(C11=0,"Not attempted","In progress"))</f>
        <v>Not attempted</v>
      </c>
    </row>
    <row r="12" customFormat="false" ht="15" hidden="false" customHeight="false" outlineLevel="0" collapsed="false">
      <c r="B12" s="30" t="s">
        <v>8</v>
      </c>
      <c r="C12" s="14" t="n">
        <f aca="false">'2. Strategy Comparison'!C18</f>
        <v>0</v>
      </c>
      <c r="D12" s="31" t="n">
        <v>4</v>
      </c>
      <c r="E12" s="32" t="str">
        <f aca="false">IF(C12=D12,"Complete",IF(C12=0,"Not attempted","In progress"))</f>
        <v>Not attempted</v>
      </c>
    </row>
    <row r="14" customFormat="false" ht="17.35" hidden="false" customHeight="false" outlineLevel="0" collapsed="false">
      <c r="B14" s="33" t="s">
        <v>59</v>
      </c>
      <c r="C14" s="34" t="n">
        <f aca="false">SUM(C11:C12)</f>
        <v>0</v>
      </c>
      <c r="D14" s="34" t="n">
        <f aca="false">SUM(D11:D12)</f>
        <v>5</v>
      </c>
      <c r="E14" s="34" t="str">
        <f aca="false">ROUND(C14/D14*100,0)&amp;"%"</f>
        <v>0%</v>
      </c>
    </row>
  </sheetData>
  <conditionalFormatting sqref="E11:E12">
    <cfRule type="expression" priority="2" aboveAverage="0" equalAverage="0" bottom="0" percent="0" rank="0" text="" dxfId="0">
      <formula>$E11="Complete"</formula>
    </cfRule>
    <cfRule type="expression" priority="3" aboveAverage="0" equalAverage="0" bottom="0" percent="0" rank="0" text="" dxfId="2">
      <formula>$E11="In progress"</formula>
    </cfRule>
    <cfRule type="expression" priority="4" aboveAverage="0" equalAverage="0" bottom="0" percent="0" rank="0" text="" dxfId="1">
      <formula>$E11="Not attempted"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2026-05-14T06:07:26Z</dcterms:created>
  <dc:creator>openpyxl</dc:creator>
  <dc:description/>
  <dc:language>en-US</dc:language>
  <cp:lastModifiedBy/>
  <dcterms:modified xsi:type="dcterms:W3CDTF">2026-05-14T06:07:26Z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