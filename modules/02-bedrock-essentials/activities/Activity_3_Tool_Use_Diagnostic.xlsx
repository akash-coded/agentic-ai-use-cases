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1. Flow Sequencer" sheetId="2" state="visible" r:id="rId4"/>
    <sheet name="2. Tool vs RAG" sheetId="3" state="visible" r:id="rId5"/>
    <sheet name="3. Bug Trace" sheetId="4" state="visible" r:id="rId6"/>
    <sheet name="4. Scor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<sst xmlns="http://schemas.openxmlformats.org/spreadsheetml/2006/main" count="105" uniqueCount="91">
  <si>
    <t xml:space="preserve">ACTIVITY 3 · MID DECK 2</t>
  </si>
  <si>
    <t xml:space="preserve">Tool-Use Flow Diagnostic</t>
  </si>
  <si>
    <t xml:space="preserve">Sequence the 8 steps. Spot a missing toolUseId. Decide tool vs RAG.</t>
  </si>
  <si>
    <t xml:space="preserve">WHAT YOU'LL DO</t>
  </si>
  <si>
    <t xml:space="preserve">Three activities. (1) Order the 8 steps of tool use. (2) For each scenario, decide tool use, RAG, or both. (3) Trace through a buggy tool-use loop and identify the missing piece.</t>
  </si>
  <si>
    <t xml:space="preserve">SHEETS IN THIS WORKBOOK</t>
  </si>
  <si>
    <t xml:space="preserve">1. Flow Sequencer</t>
  </si>
  <si>
    <t xml:space="preserve">Drag-free reordering via dropdowns. Validates the 8-step flow.</t>
  </si>
  <si>
    <t xml:space="preserve">2. Tool vs RAG</t>
  </si>
  <si>
    <t xml:space="preserve">Six scenarios, pick the right pattern.</t>
  </si>
  <si>
    <t xml:space="preserve">3. Bug Trace</t>
  </si>
  <si>
    <t xml:space="preserve">Read a tool-use loop and find the missing step.</t>
  </si>
  <si>
    <t xml:space="preserve">4. Score</t>
  </si>
  <si>
    <t xml:space="preserve">Auto-totaled.</t>
  </si>
  <si>
    <t xml:space="preserve">ACTIVITY 3.1</t>
  </si>
  <si>
    <t xml:space="preserve">Sequence the 8-step tool-use flow</t>
  </si>
  <si>
    <t xml:space="preserve">Pick the step number from each dropdown so the sequence reads top-to-bottom.</t>
  </si>
  <si>
    <t xml:space="preserve">HOW TO USE</t>
  </si>
  <si>
    <t xml:space="preserve">Each row is an action. Pick the step number (1-8) from the dropdown. When all 8 are placed correctly, every row turns green.</t>
  </si>
  <si>
    <t xml:space="preserve">ROW</t>
  </si>
  <si>
    <t xml:space="preserve">STEP #</t>
  </si>
  <si>
    <t xml:space="preserve">ACTION</t>
  </si>
  <si>
    <t xml:space="preserve">VERDICT</t>
  </si>
  <si>
    <t xml:space="preserve">A</t>
  </si>
  <si>
    <t xml:space="preserve">Model decides if it needs a tool</t>
  </si>
  <si>
    <t xml:space="preserve">B</t>
  </si>
  <si>
    <t xml:space="preserve">You create tools in your code</t>
  </si>
  <si>
    <t xml:space="preserve">C</t>
  </si>
  <si>
    <t xml:space="preserve">Model uses the result to write the final answer</t>
  </si>
  <si>
    <t xml:space="preserve">D</t>
  </si>
  <si>
    <t xml:space="preserve">Your code runs the tool</t>
  </si>
  <si>
    <t xml:space="preserve">E</t>
  </si>
  <si>
    <t xml:space="preserve">You send the prompt + tool schema to the model</t>
  </si>
  <si>
    <t xml:space="preserve">F</t>
  </si>
  <si>
    <t xml:space="preserve">Model returns which tool, with what arguments</t>
  </si>
  <si>
    <t xml:space="preserve">G</t>
  </si>
  <si>
    <t xml:space="preserve">You write a tool schema describing each tool</t>
  </si>
  <si>
    <t xml:space="preserve">H</t>
  </si>
  <si>
    <t xml:space="preserve">Your code sends the tool result back to the model</t>
  </si>
  <si>
    <t xml:space="preserve">SCORE THIS ACTIVITY</t>
  </si>
  <si>
    <t xml:space="preserve">Points earned (out of 8)</t>
  </si>
  <si>
    <t xml:space="preserve">ACTIVITY 3.2</t>
  </si>
  <si>
    <t xml:space="preserve">Tool use? RAG? Both?</t>
  </si>
  <si>
    <t xml:space="preserve">For each scenario, pick the right Bedrock pattern.</t>
  </si>
  <si>
    <t xml:space="preserve">THE CHOICES</t>
  </si>
  <si>
    <t xml:space="preserve">Tool use = let the model call your code (real-time, actions). RAG = ground the model in your own documents (static knowledge). Both = many real apps need both.</t>
  </si>
  <si>
    <t xml:space="preserve">#</t>
  </si>
  <si>
    <t xml:space="preserve">Scenario</t>
  </si>
  <si>
    <t xml:space="preserve">Your pick</t>
  </si>
  <si>
    <t xml:space="preserve">Verdict</t>
  </si>
  <si>
    <t xml:space="preserve">Look up today's weather for a user-supplied city.</t>
  </si>
  <si>
    <t xml:space="preserve">Answer questions about your company's vacation policy from internal HR docs.</t>
  </si>
  <si>
    <t xml:space="preserve">Help users book a flight: search availability, then place the booking.</t>
  </si>
  <si>
    <t xml:space="preserve">A support bot that quotes from your help center AND lets users open a ticket.</t>
  </si>
  <si>
    <t xml:space="preserve">Translate a fixed sentence into French.</t>
  </si>
  <si>
    <t xml:space="preserve">Tell users their remaining vacation days based on a Workday API.</t>
  </si>
  <si>
    <t xml:space="preserve">Points earned (out of 6)</t>
  </si>
  <si>
    <t xml:space="preserve">ACTIVITY 3.3</t>
  </si>
  <si>
    <t xml:space="preserve">Bug Trace — what's missing from this loop?</t>
  </si>
  <si>
    <t xml:space="preserve">Walk through the code below line by line. Mark each step's status.</t>
  </si>
  <si>
    <t xml:space="preserve">THE CODE</t>
  </si>
  <si>
    <t xml:space="preserve">Below is a tool-use loop. The first API call works. The second returns ValidationException. For each row, pick whether the action was DONE or MISSED.</t>
  </si>
  <si>
    <t xml:space="preserve">STEP</t>
  </si>
  <si>
    <t xml:space="preserve">STATUS</t>
  </si>
  <si>
    <t xml:space="preserve">1</t>
  </si>
  <si>
    <t xml:space="preserve">First Converse call sent with toolConfig</t>
  </si>
  <si>
    <t xml:space="preserve">Done</t>
  </si>
  <si>
    <t xml:space="preserve">2</t>
  </si>
  <si>
    <t xml:space="preserve">Read stop_reason and assistant_message from response</t>
  </si>
  <si>
    <t xml:space="preserve">3</t>
  </si>
  <si>
    <t xml:space="preserve">Extracted tool_name, tool_input, tool_use_id from toolUse block</t>
  </si>
  <si>
    <t xml:space="preserve">4</t>
  </si>
  <si>
    <t xml:space="preserve">Ran run_tool() with the inputs and got a result</t>
  </si>
  <si>
    <t xml:space="preserve">5</t>
  </si>
  <si>
    <t xml:space="preserve">Appended the model's assistant_message to messages</t>
  </si>
  <si>
    <t xml:space="preserve">Missed</t>
  </si>
  <si>
    <t xml:space="preserve">6</t>
  </si>
  <si>
    <t xml:space="preserve">Appended a user message with the toolResult to messages</t>
  </si>
  <si>
    <t xml:space="preserve">7</t>
  </si>
  <si>
    <t xml:space="preserve">Made the second Converse call with the updated messages</t>
  </si>
  <si>
    <t xml:space="preserve">Correct rows</t>
  </si>
  <si>
    <t xml:space="preserve">Which step is actually missed?</t>
  </si>
  <si>
    <t xml:space="preserve">(pick)</t>
  </si>
  <si>
    <t xml:space="preserve">Why this breaks the second call</t>
  </si>
  <si>
    <t xml:space="preserve">ACTIVITY 3 · FINAL</t>
  </si>
  <si>
    <t xml:space="preserve">Your Score</t>
  </si>
  <si>
    <t xml:space="preserve">Activity</t>
  </si>
  <si>
    <t xml:space="preserve">Points</t>
  </si>
  <si>
    <t xml:space="preserve">Out of</t>
  </si>
  <si>
    <t xml:space="preserve">Status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</si>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</sst>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B45309"/>
      <name val="Calibri"/>
      <family val="0"/>
      <charset val="1"/>
    </font>
    <font>
      <b val="true"/>
      <sz val="20"/>
      <color rgb="FF0F172A"/>
      <name val="Calibri"/>
      <family val="0"/>
      <charset val="1"/>
    </font>
    <font>
      <i val="true"/>
      <sz val="11"/>
      <color rgb="FF64748B"/>
      <name val="Calibri"/>
      <family val="0"/>
      <charset val="1"/>
    </font>
    <font>
      <sz val="10"/>
      <color rgb="FF334155"/>
      <name val="Calibri"/>
      <family val="0"/>
      <charset val="1"/>
    </font>
    <font>
      <b val="true"/>
      <sz val="10"/>
      <color rgb="FF64748B"/>
      <name val="Calibri"/>
      <family val="0"/>
      <charset val="1"/>
    </font>
    <font>
      <b val="true"/>
      <sz val="11"/>
      <color rgb="FF0F172A"/>
      <name val="Calibri"/>
      <family val="0"/>
      <charset val="1"/>
    </font>
    <font>
      <sz val="10.5"/>
      <color rgb="FF334155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1"/>
      <color rgb="FF0F172A"/>
      <name val="Calibri"/>
      <family val="0"/>
      <charset val="1"/>
    </font>
    <font>
      <b val="true"/>
      <sz val="18"/>
      <color rgb="FFB45309"/>
      <name val="Calibri"/>
      <family val="0"/>
      <charset val="1"/>
    </font>
    <font>
      <sz val="10.5"/>
      <color rgb="FF0F172A"/>
      <name val="Calibri"/>
      <family val="0"/>
      <charset val="1"/>
    </font>
    <font>
      <sz val="11"/>
      <color rgb="FFFFFFFF"/>
      <name val="Cambria"/>
      <family val="0"/>
      <charset val="1"/>
    </font>
    <font>
      <b val="true"/>
      <sz val="14"/>
      <color rgb="FFB45309"/>
      <name val="Calibri"/>
      <family val="0"/>
      <charset val="1"/>
    </font>
    <font>
      <sz val="11"/>
      <color rgb="FF64748B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EF3C7"/>
        <bgColor rgb="FFFEE2E2"/>
      </patternFill>
    </fill>
    <fill>
      <patternFill patternType="solid">
        <fgColor rgb="FFF1F5F9"/>
        <bgColor rgb="FFF8FAFC"/>
      </patternFill>
    </fill>
    <fill>
      <patternFill patternType="solid">
        <fgColor rgb="FF0F172A"/>
        <bgColor rgb="FF000000"/>
      </patternFill>
    </fill>
    <fill>
      <patternFill patternType="solid">
        <fgColor rgb="FFDBEAFE"/>
        <bgColor rgb="FFE2E8F0"/>
      </patternFill>
    </fill>
    <fill>
      <patternFill patternType="solid">
        <fgColor rgb="FFF8FAFC"/>
        <bgColor rgb="FFFFFFFF"/>
      </patternFill>
    </fill>
    <fill>
      <patternFill patternType="solid">
        <fgColor rgb="FFB45309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5" fontId="1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1FAE5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E2E8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D1FAE5"/>
      <rgbColor rgb="FFF8FAFC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B45309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56"/>
    <col collapsed="false" customWidth="true" hidden="false" outlineLevel="0" max="4" min="4" style="0" width="2"/>
  </cols>
  <sheetData>
    <row r="2" customFormat="false" ht="13.5" hidden="false" customHeight="true" outlineLevel="0" collapsed="false">
      <c r="B2" s="1" t="s">
        <v>0</v>
      </c>
    </row>
    <row r="3" customFormat="false" ht="27.75" hidden="false" customHeight="true" outlineLevel="0" collapsed="false">
      <c r="B3" s="2" t="s">
        <v>1</v>
      </c>
    </row>
    <row r="4" customFormat="false" ht="18" hidden="false" customHeight="tru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  <c r="C6" s="4"/>
    </row>
    <row r="7" customFormat="false" ht="36" hidden="false" customHeight="true" outlineLevel="0" collapsed="false">
      <c r="B7" s="5" t="s">
        <v>4</v>
      </c>
      <c r="C7" s="5"/>
    </row>
    <row r="10" customFormat="false" ht="15" hidden="false" customHeight="false" outlineLevel="0" collapsed="false">
      <c r="B10" s="6" t="s">
        <v>5</v>
      </c>
    </row>
    <row r="11" customFormat="false" ht="15" hidden="false" customHeight="false" outlineLevel="0" collapsed="false">
      <c r="B11" s="7" t="s">
        <v>6</v>
      </c>
      <c r="C11" s="8" t="s">
        <v>7</v>
      </c>
    </row>
    <row r="12" customFormat="false" ht="15" hidden="false" customHeight="false" outlineLevel="0" collapsed="false">
      <c r="B12" s="7" t="s">
        <v>8</v>
      </c>
      <c r="C12" s="8" t="s">
        <v>9</v>
      </c>
    </row>
    <row r="13" customFormat="false" ht="15" hidden="false" customHeight="false" outlineLevel="0" collapsed="false">
      <c r="B13" s="7" t="s">
        <v>10</v>
      </c>
      <c r="C13" s="8" t="s">
        <v>11</v>
      </c>
    </row>
    <row r="14" customFormat="false" ht="15" hidden="false" customHeight="false" outlineLevel="0" collapsed="false">
      <c r="B14" s="7" t="s">
        <v>12</v>
      </c>
      <c r="C14" s="8" t="s">
        <v>13</v>
      </c>
    </row>
  </sheetData>
  <mergeCells count="2">
    <mergeCell ref="B6:C6"/>
    <mergeCell ref="B7:C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64"/>
    <col collapsed="false" customWidth="true" hidden="false" outlineLevel="0" max="5" min="5" style="0" width="24"/>
    <col collapsed="false" customWidth="true" hidden="false" outlineLevel="0" max="6" min="6" style="0" width="2"/>
  </cols>
  <sheetData>
    <row r="2" customFormat="false" ht="13.5" hidden="false" customHeight="true" outlineLevel="0" collapsed="false">
      <c r="B2" s="1" t="s">
        <v>14</v>
      </c>
    </row>
    <row r="3" customFormat="false" ht="27.75" hidden="false" customHeight="true" outlineLevel="0" collapsed="false">
      <c r="B3" s="2" t="s">
        <v>15</v>
      </c>
    </row>
    <row r="4" customFormat="false" ht="18" hidden="false" customHeight="true" outlineLevel="0" collapsed="false">
      <c r="B4" s="3" t="s">
        <v>16</v>
      </c>
    </row>
    <row r="6" customFormat="false" ht="15" hidden="false" customHeight="false" outlineLevel="0" collapsed="false">
      <c r="B6" s="9" t="s">
        <v>17</v>
      </c>
      <c r="C6" s="9"/>
      <c r="D6" s="9"/>
      <c r="E6" s="9"/>
    </row>
    <row r="7" customFormat="false" ht="36" hidden="false" customHeight="true" outlineLevel="0" collapsed="false">
      <c r="B7" s="10" t="s">
        <v>18</v>
      </c>
      <c r="C7" s="10"/>
      <c r="D7" s="10"/>
      <c r="E7" s="10"/>
    </row>
    <row r="10" customFormat="false" ht="15" hidden="false" customHeight="false" outlineLevel="0" collapsed="false">
      <c r="B10" s="11" t="s">
        <v>19</v>
      </c>
      <c r="C10" s="11" t="s">
        <v>20</v>
      </c>
      <c r="D10" s="11" t="s">
        <v>21</v>
      </c>
      <c r="E10" s="11" t="s">
        <v>22</v>
      </c>
    </row>
    <row r="11" customFormat="false" ht="15" hidden="false" customHeight="false" outlineLevel="0" collapsed="false">
      <c r="B11" s="12" t="s">
        <v>23</v>
      </c>
      <c r="C11" s="13"/>
      <c r="D11" s="14" t="s">
        <v>24</v>
      </c>
      <c r="E11" s="15" t="str">
        <f aca="false">IF(C11=4,"OK",IF(C11="","","Wrong step"))</f>
        <v/>
      </c>
    </row>
    <row r="12" customFormat="false" ht="15" hidden="false" customHeight="false" outlineLevel="0" collapsed="false">
      <c r="B12" s="12" t="s">
        <v>25</v>
      </c>
      <c r="C12" s="13"/>
      <c r="D12" s="14" t="s">
        <v>26</v>
      </c>
      <c r="E12" s="15" t="str">
        <f aca="false">IF(C12=1,"OK",IF(C12="","","Wrong step"))</f>
        <v/>
      </c>
    </row>
    <row r="13" customFormat="false" ht="15" hidden="false" customHeight="false" outlineLevel="0" collapsed="false">
      <c r="B13" s="12" t="s">
        <v>27</v>
      </c>
      <c r="C13" s="13"/>
      <c r="D13" s="14" t="s">
        <v>28</v>
      </c>
      <c r="E13" s="15" t="str">
        <f aca="false">IF(C13=8,"OK",IF(C13="","","Wrong step"))</f>
        <v/>
      </c>
    </row>
    <row r="14" customFormat="false" ht="15" hidden="false" customHeight="false" outlineLevel="0" collapsed="false">
      <c r="B14" s="12" t="s">
        <v>29</v>
      </c>
      <c r="C14" s="13"/>
      <c r="D14" s="14" t="s">
        <v>30</v>
      </c>
      <c r="E14" s="15" t="str">
        <f aca="false">IF(C14=6,"OK",IF(C14="","","Wrong step"))</f>
        <v/>
      </c>
    </row>
    <row r="15" customFormat="false" ht="15" hidden="false" customHeight="false" outlineLevel="0" collapsed="false">
      <c r="B15" s="12" t="s">
        <v>31</v>
      </c>
      <c r="C15" s="13"/>
      <c r="D15" s="14" t="s">
        <v>32</v>
      </c>
      <c r="E15" s="15" t="str">
        <f aca="false">IF(C15=3,"OK",IF(C15="","","Wrong step"))</f>
        <v/>
      </c>
    </row>
    <row r="16" customFormat="false" ht="15" hidden="false" customHeight="false" outlineLevel="0" collapsed="false">
      <c r="B16" s="12" t="s">
        <v>33</v>
      </c>
      <c r="C16" s="13"/>
      <c r="D16" s="14" t="s">
        <v>34</v>
      </c>
      <c r="E16" s="15" t="str">
        <f aca="false">IF(C16=5,"OK",IF(C16="","","Wrong step"))</f>
        <v/>
      </c>
    </row>
    <row r="17" customFormat="false" ht="15" hidden="false" customHeight="false" outlineLevel="0" collapsed="false">
      <c r="B17" s="12" t="s">
        <v>35</v>
      </c>
      <c r="C17" s="13"/>
      <c r="D17" s="14" t="s">
        <v>36</v>
      </c>
      <c r="E17" s="15" t="str">
        <f aca="false">IF(C17=2,"OK",IF(C17="","","Wrong step"))</f>
        <v/>
      </c>
    </row>
    <row r="18" customFormat="false" ht="15" hidden="false" customHeight="false" outlineLevel="0" collapsed="false">
      <c r="B18" s="12" t="s">
        <v>37</v>
      </c>
      <c r="C18" s="13"/>
      <c r="D18" s="14" t="s">
        <v>38</v>
      </c>
      <c r="E18" s="15" t="str">
        <f aca="false">IF(C18=7,"OK",IF(C18="","","Wrong step"))</f>
        <v/>
      </c>
    </row>
    <row r="20" customFormat="false" ht="15" hidden="false" customHeight="false" outlineLevel="0" collapsed="false">
      <c r="B20" s="6" t="s">
        <v>39</v>
      </c>
    </row>
    <row r="21" customFormat="false" ht="22.05" hidden="false" customHeight="false" outlineLevel="0" collapsed="false">
      <c r="B21" s="0" t="s">
        <v>40</v>
      </c>
      <c r="C21" s="16" t="n">
        <f aca="false">COUNTIF(E11:E18,"OK")</f>
        <v>0</v>
      </c>
    </row>
  </sheetData>
  <mergeCells count="2">
    <mergeCell ref="B6:E6"/>
    <mergeCell ref="B7:E7"/>
  </mergeCells>
  <conditionalFormatting sqref="E11:E18">
    <cfRule type="expression" priority="2" aboveAverage="0" equalAverage="0" bottom="0" percent="0" rank="0" text="" dxfId="0">
      <formula>$E11="OK"</formula>
    </cfRule>
    <cfRule type="expression" priority="3" aboveAverage="0" equalAverage="0" bottom="0" percent="0" rank="0" text="" dxfId="1">
      <formula>$E11="Wrong step"</formula>
    </cfRule>
  </conditionalFormatting>
  <dataValidations count="1">
    <dataValidation allowBlank="true" errorStyle="stop" operator="between" showDropDown="false" showErrorMessage="false" showInputMessage="false" sqref="C11:C18" type="list">
      <formula1>"1,2,3,4,5,6,7,8"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56"/>
    <col collapsed="false" customWidth="true" hidden="false" outlineLevel="0" max="4" min="4" style="0" width="20"/>
    <col collapsed="false" customWidth="true" hidden="false" outlineLevel="0" max="5" min="5" style="0" width="36"/>
    <col collapsed="false" customWidth="true" hidden="false" outlineLevel="0" max="6" min="6" style="0" width="2"/>
  </cols>
  <sheetData>
    <row r="2" customFormat="false" ht="13.5" hidden="false" customHeight="true" outlineLevel="0" collapsed="false">
      <c r="B2" s="1" t="s">
        <v>41</v>
      </c>
    </row>
    <row r="3" customFormat="false" ht="27.75" hidden="false" customHeight="true" outlineLevel="0" collapsed="false">
      <c r="B3" s="2" t="s">
        <v>42</v>
      </c>
    </row>
    <row r="4" customFormat="false" ht="18" hidden="false" customHeight="true" outlineLevel="0" collapsed="false">
      <c r="B4" s="3" t="s">
        <v>43</v>
      </c>
    </row>
    <row r="6" customFormat="false" ht="15" hidden="false" customHeight="false" outlineLevel="0" collapsed="false">
      <c r="B6" s="9" t="s">
        <v>44</v>
      </c>
      <c r="C6" s="9"/>
      <c r="D6" s="9"/>
      <c r="E6" s="9"/>
    </row>
    <row r="7" customFormat="false" ht="36" hidden="false" customHeight="true" outlineLevel="0" collapsed="false">
      <c r="B7" s="10" t="s">
        <v>45</v>
      </c>
      <c r="C7" s="10"/>
      <c r="D7" s="10"/>
      <c r="E7" s="10"/>
    </row>
    <row r="10" customFormat="false" ht="15" hidden="false" customHeight="false" outlineLevel="0" collapsed="false">
      <c r="B10" s="17" t="s">
        <v>46</v>
      </c>
      <c r="C10" s="17" t="s">
        <v>47</v>
      </c>
      <c r="D10" s="17" t="s">
        <v>48</v>
      </c>
      <c r="E10" s="17" t="s">
        <v>49</v>
      </c>
    </row>
    <row r="11" customFormat="false" ht="37.5" hidden="false" customHeight="true" outlineLevel="0" collapsed="false">
      <c r="B11" s="18" t="n">
        <v>1</v>
      </c>
      <c r="C11" s="19" t="s">
        <v>50</v>
      </c>
      <c r="D11" s="13"/>
      <c r="E11" s="20" t="str">
        <f aca="false">IF(D11="Tool use","OK — Real-time data the model can't have. Tool use calls a weather API.",IF(D11="","","Reconsider — is the data dynamic (tool) or static (RAG)?"))</f>
        <v/>
      </c>
    </row>
    <row r="12" customFormat="false" ht="37.5" hidden="false" customHeight="true" outlineLevel="0" collapsed="false">
      <c r="B12" s="18" t="n">
        <v>2</v>
      </c>
      <c r="C12" s="19" t="s">
        <v>51</v>
      </c>
      <c r="D12" s="13"/>
      <c r="E12" s="20" t="str">
        <f aca="false">IF(D12="RAG","OK — Static knowledge in your documents. Index it as a Knowledge Base.",IF(D12="","","Reconsider — is the data dynamic (tool) or static (RAG)?"))</f>
        <v/>
      </c>
    </row>
    <row r="13" customFormat="false" ht="37.5" hidden="false" customHeight="true" outlineLevel="0" collapsed="false">
      <c r="B13" s="18" t="n">
        <v>3</v>
      </c>
      <c r="C13" s="19" t="s">
        <v>52</v>
      </c>
      <c r="D13" s="13"/>
      <c r="E13" s="20" t="str">
        <f aca="false">IF(D13="Tool use","OK — Both retrieval and action are dynamic API calls — tool use, not RAG.",IF(D13="","","Reconsider — is the data dynamic (tool) or static (RAG)?"))</f>
        <v/>
      </c>
    </row>
    <row r="14" customFormat="false" ht="37.5" hidden="false" customHeight="true" outlineLevel="0" collapsed="false">
      <c r="B14" s="18" t="n">
        <v>4</v>
      </c>
      <c r="C14" s="19" t="s">
        <v>53</v>
      </c>
      <c r="D14" s="13"/>
      <c r="E14" s="20" t="str">
        <f aca="false">IF(D14="Both","OK — Help-center articles are RAG; ticket creation is a tool.",IF(D14="","","Reconsider — is the data dynamic (tool) or static (RAG)?"))</f>
        <v/>
      </c>
    </row>
    <row r="15" customFormat="false" ht="37.5" hidden="false" customHeight="true" outlineLevel="0" collapsed="false">
      <c r="B15" s="18" t="n">
        <v>5</v>
      </c>
      <c r="C15" s="19" t="s">
        <v>54</v>
      </c>
      <c r="D15" s="13"/>
      <c r="E15" s="20" t="str">
        <f aca="false">IF(D15="Neither","OK — Pure model task — no external data or actions needed.",IF(D15="","","Reconsider — is the data dynamic (tool) or static (RAG)?"))</f>
        <v/>
      </c>
    </row>
    <row r="16" customFormat="false" ht="37.5" hidden="false" customHeight="true" outlineLevel="0" collapsed="false">
      <c r="B16" s="18" t="n">
        <v>6</v>
      </c>
      <c r="C16" s="19" t="s">
        <v>55</v>
      </c>
      <c r="D16" s="13"/>
      <c r="E16" s="20" t="str">
        <f aca="false">IF(D16="Tool use","OK — Live employee state via API. Not RAG — the data is dynamic, per-user.",IF(D16="","","Reconsider — is the data dynamic (tool) or static (RAG)?"))</f>
        <v/>
      </c>
    </row>
    <row r="19" customFormat="false" ht="15" hidden="false" customHeight="false" outlineLevel="0" collapsed="false">
      <c r="B19" s="6" t="s">
        <v>39</v>
      </c>
    </row>
    <row r="20" customFormat="false" ht="22.05" hidden="false" customHeight="false" outlineLevel="0" collapsed="false">
      <c r="B20" s="0" t="s">
        <v>56</v>
      </c>
      <c r="C20" s="16" t="n">
        <f aca="false">COUNTIF(E11:E16,"OK*")</f>
        <v>0</v>
      </c>
    </row>
  </sheetData>
  <mergeCells count="2">
    <mergeCell ref="B6:E6"/>
    <mergeCell ref="B7:E7"/>
  </mergeCells>
  <conditionalFormatting sqref="E11:E16">
    <cfRule type="expression" priority="2" aboveAverage="0" equalAverage="0" bottom="0" percent="0" rank="0" text="" dxfId="0">
      <formula>LEFT($E11,2)="OK"</formula>
    </cfRule>
    <cfRule type="expression" priority="3" aboveAverage="0" equalAverage="0" bottom="0" percent="0" rank="0" text="" dxfId="1">
      <formula>AND(LEFT($E11,2)&lt;&gt;"OK", $E11&lt;&gt;"")</formula>
    </cfRule>
  </conditionalFormatting>
  <dataValidations count="1">
    <dataValidation allowBlank="true" errorStyle="stop" operator="between" showDropDown="false" showErrorMessage="false" showInputMessage="false" sqref="D11:D16" type="list">
      <formula1>"Tool use,RAG,Both,Neither"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70"/>
    <col collapsed="false" customWidth="true" hidden="false" outlineLevel="0" max="4" min="4" style="0" width="16"/>
    <col collapsed="false" customWidth="true" hidden="false" outlineLevel="0" max="5" min="5" style="0" width="2"/>
    <col collapsed="false" customWidth="true" hidden="true" outlineLevel="0" max="7" min="7" style="0" width="13"/>
  </cols>
  <sheetData>
    <row r="2" customFormat="false" ht="13.5" hidden="false" customHeight="true" outlineLevel="0" collapsed="false">
      <c r="B2" s="1" t="s">
        <v>57</v>
      </c>
    </row>
    <row r="3" customFormat="false" ht="27.75" hidden="false" customHeight="true" outlineLevel="0" collapsed="false">
      <c r="B3" s="2" t="s">
        <v>58</v>
      </c>
    </row>
    <row r="4" customFormat="false" ht="18" hidden="false" customHeight="true" outlineLevel="0" collapsed="false">
      <c r="B4" s="3" t="s">
        <v>59</v>
      </c>
    </row>
    <row r="6" customFormat="false" ht="15" hidden="false" customHeight="false" outlineLevel="0" collapsed="false">
      <c r="B6" s="9" t="s">
        <v>60</v>
      </c>
      <c r="C6" s="9"/>
      <c r="D6" s="9"/>
    </row>
    <row r="7" customFormat="false" ht="36" hidden="false" customHeight="true" outlineLevel="0" collapsed="false">
      <c r="B7" s="10" t="s">
        <v>61</v>
      </c>
      <c r="C7" s="10"/>
      <c r="D7" s="10"/>
    </row>
    <row r="10" customFormat="false" ht="15" hidden="false" customHeight="false" outlineLevel="0" collapsed="false">
      <c r="B10" s="17" t="s">
        <v>62</v>
      </c>
      <c r="C10" s="17" t="s">
        <v>21</v>
      </c>
      <c r="D10" s="17" t="s">
        <v>63</v>
      </c>
    </row>
    <row r="11" customFormat="false" ht="15" hidden="false" customHeight="false" outlineLevel="0" collapsed="false">
      <c r="B11" s="18" t="s">
        <v>64</v>
      </c>
      <c r="C11" s="19" t="s">
        <v>65</v>
      </c>
      <c r="D11" s="13"/>
      <c r="G11" s="21" t="s">
        <v>66</v>
      </c>
    </row>
    <row r="12" customFormat="false" ht="15" hidden="false" customHeight="false" outlineLevel="0" collapsed="false">
      <c r="B12" s="18" t="s">
        <v>67</v>
      </c>
      <c r="C12" s="19" t="s">
        <v>68</v>
      </c>
      <c r="D12" s="13"/>
      <c r="G12" s="21" t="s">
        <v>66</v>
      </c>
    </row>
    <row r="13" customFormat="false" ht="15" hidden="false" customHeight="false" outlineLevel="0" collapsed="false">
      <c r="B13" s="18" t="s">
        <v>69</v>
      </c>
      <c r="C13" s="19" t="s">
        <v>70</v>
      </c>
      <c r="D13" s="13"/>
      <c r="G13" s="21" t="s">
        <v>66</v>
      </c>
    </row>
    <row r="14" customFormat="false" ht="15" hidden="false" customHeight="false" outlineLevel="0" collapsed="false">
      <c r="B14" s="18" t="s">
        <v>71</v>
      </c>
      <c r="C14" s="19" t="s">
        <v>72</v>
      </c>
      <c r="D14" s="13"/>
      <c r="G14" s="21" t="s">
        <v>66</v>
      </c>
    </row>
    <row r="15" customFormat="false" ht="15" hidden="false" customHeight="false" outlineLevel="0" collapsed="false">
      <c r="B15" s="18" t="s">
        <v>73</v>
      </c>
      <c r="C15" s="19" t="s">
        <v>74</v>
      </c>
      <c r="D15" s="13"/>
      <c r="G15" s="21" t="s">
        <v>75</v>
      </c>
    </row>
    <row r="16" customFormat="false" ht="15" hidden="false" customHeight="false" outlineLevel="0" collapsed="false">
      <c r="B16" s="18" t="s">
        <v>76</v>
      </c>
      <c r="C16" s="19" t="s">
        <v>77</v>
      </c>
      <c r="D16" s="13"/>
      <c r="G16" s="21" t="s">
        <v>66</v>
      </c>
    </row>
    <row r="17" customFormat="false" ht="15" hidden="false" customHeight="false" outlineLevel="0" collapsed="false">
      <c r="B17" s="18" t="s">
        <v>78</v>
      </c>
      <c r="C17" s="19" t="s">
        <v>79</v>
      </c>
      <c r="D17" s="13"/>
      <c r="G17" s="21" t="s">
        <v>66</v>
      </c>
    </row>
    <row r="19" customFormat="false" ht="15" hidden="false" customHeight="false" outlineLevel="0" collapsed="false">
      <c r="B19" s="6" t="s">
        <v>22</v>
      </c>
    </row>
    <row r="20" customFormat="false" ht="17.35" hidden="false" customHeight="false" outlineLevel="0" collapsed="false">
      <c r="B20" s="0" t="s">
        <v>80</v>
      </c>
      <c r="C20" s="22" t="n">
        <f aca="false">SUMPRODUCT((D11:D17=G11:G17)*(D11:D17&lt;&gt;""))</f>
        <v>0</v>
      </c>
    </row>
    <row r="21" customFormat="false" ht="15" hidden="false" customHeight="false" outlineLevel="0" collapsed="false">
      <c r="B21" s="0" t="s">
        <v>81</v>
      </c>
      <c r="C21" s="23" t="s">
        <v>82</v>
      </c>
    </row>
    <row r="22" customFormat="false" ht="39.75" hidden="false" customHeight="true" outlineLevel="0" collapsed="false">
      <c r="B22" s="0" t="s">
        <v>83</v>
      </c>
      <c r="C22" s="24" t="str">
        <f aca="false">IF(C21="Step 5","OK — Bedrock expects user → assistant (toolUse) → user (toolResult). Skipping the assistant message breaks the sequence.",IF(C21="(pick)","","Re-read — which step bridges the model's tool request to your result?"))</f>
        <v/>
      </c>
      <c r="D22" s="24"/>
    </row>
    <row r="24" customFormat="false" ht="15" hidden="false" customHeight="false" outlineLevel="0" collapsed="false">
      <c r="B24" s="6" t="s">
        <v>39</v>
      </c>
    </row>
    <row r="25" customFormat="false" ht="22.05" hidden="false" customHeight="false" outlineLevel="0" collapsed="false">
      <c r="B25" s="0" t="s">
        <v>40</v>
      </c>
      <c r="C25" s="16" t="n">
        <f aca="false">C20+IF(LEFT(C22,2)="OK",1,0)</f>
        <v>0</v>
      </c>
    </row>
  </sheetData>
  <mergeCells count="3">
    <mergeCell ref="B6:D6"/>
    <mergeCell ref="B7:D7"/>
    <mergeCell ref="C22:D22"/>
  </mergeCells>
  <conditionalFormatting sqref="C22:D22">
    <cfRule type="expression" priority="2" aboveAverage="0" equalAverage="0" bottom="0" percent="0" rank="0" text="" dxfId="0">
      <formula>LEFT($C22,2)="OK"</formula>
    </cfRule>
    <cfRule type="expression" priority="3" aboveAverage="0" equalAverage="0" bottom="0" percent="0" rank="0" text="" dxfId="1">
      <formula>AND(LEFT($C22,2)&lt;&gt;"OK", $C22&lt;&gt;"")</formula>
    </cfRule>
  </conditionalFormatting>
  <dataValidations count="2">
    <dataValidation allowBlank="true" errorStyle="stop" operator="between" showDropDown="false" showErrorMessage="false" showInputMessage="false" sqref="D11:D17" type="list">
      <formula1>"Done,Missed"</formula1>
      <formula2>0</formula2>
    </dataValidation>
    <dataValidation allowBlank="true" errorStyle="stop" operator="between" showDropDown="false" showErrorMessage="false" showInputMessage="false" sqref="C21" type="list">
      <formula1>"(pick),Step 1,Step 2,Step 3,Step 4,Step 5,Step 6,Step 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22"/>
    <col collapsed="false" customWidth="true" hidden="false" outlineLevel="0" max="6" min="6" style="0" width="2"/>
  </cols>
  <sheetData>
    <row r="2" customFormat="false" ht="13.5" hidden="false" customHeight="true" outlineLevel="0" collapsed="false">
      <c r="B2" s="1" t="s">
        <v>84</v>
      </c>
    </row>
    <row r="3" customFormat="false" ht="27.75" hidden="false" customHeight="true" outlineLevel="0" collapsed="false">
      <c r="B3" s="2" t="s">
        <v>85</v>
      </c>
    </row>
    <row r="4" customFormat="false" ht="18" hidden="false" customHeight="true" outlineLevel="0" collapsed="false">
      <c r="B4" s="3" t="s">
        <v>13</v>
      </c>
    </row>
    <row r="10" customFormat="false" ht="15" hidden="false" customHeight="false" outlineLevel="0" collapsed="false">
      <c r="B10" s="17" t="s">
        <v>86</v>
      </c>
      <c r="C10" s="17" t="s">
        <v>87</v>
      </c>
      <c r="D10" s="17" t="s">
        <v>88</v>
      </c>
      <c r="E10" s="17" t="s">
        <v>89</v>
      </c>
    </row>
    <row r="11" customFormat="false" ht="15" hidden="false" customHeight="false" outlineLevel="0" collapsed="false">
      <c r="B11" s="25" t="s">
        <v>6</v>
      </c>
      <c r="C11" s="26" t="n">
        <f aca="false">'1. Flow Sequencer'!C21</f>
        <v>0</v>
      </c>
      <c r="D11" s="27" t="n">
        <v>8</v>
      </c>
      <c r="E11" s="28" t="str">
        <f aca="false">IF(C11=D11,"Complete",IF(C11=0,"Not attempted","In progress"))</f>
        <v>Not attempted</v>
      </c>
    </row>
    <row r="12" customFormat="false" ht="15" hidden="false" customHeight="false" outlineLevel="0" collapsed="false">
      <c r="B12" s="25" t="s">
        <v>8</v>
      </c>
      <c r="C12" s="26" t="n">
        <f aca="false">'2. Tool vs RAG'!C20</f>
        <v>0</v>
      </c>
      <c r="D12" s="27" t="n">
        <v>6</v>
      </c>
      <c r="E12" s="28" t="str">
        <f aca="false">IF(C12=D12,"Complete",IF(C12=0,"Not attempted","In progress"))</f>
        <v>Not attempted</v>
      </c>
    </row>
    <row r="13" customFormat="false" ht="15" hidden="false" customHeight="false" outlineLevel="0" collapsed="false">
      <c r="B13" s="25" t="s">
        <v>10</v>
      </c>
      <c r="C13" s="26" t="n">
        <f aca="false">'3. Bug Trace'!C25</f>
        <v>0</v>
      </c>
      <c r="D13" s="27" t="n">
        <v>8</v>
      </c>
      <c r="E13" s="28" t="str">
        <f aca="false">IF(C13=D13,"Complete",IF(C13=0,"Not attempted","In progress"))</f>
        <v>Not attempted</v>
      </c>
    </row>
    <row r="15" customFormat="false" ht="17.35" hidden="false" customHeight="false" outlineLevel="0" collapsed="false">
      <c r="B15" s="29" t="s">
        <v>90</v>
      </c>
      <c r="C15" s="30" t="n">
        <f aca="false">SUM(C11:C13)</f>
        <v>0</v>
      </c>
      <c r="D15" s="30" t="n">
        <f aca="false">SUM(D11:D13)</f>
        <v>22</v>
      </c>
      <c r="E15" s="30" t="str">
        <f aca="false">ROUND(C15/D15*100,0)&amp;"%"</f>
        <v>0%</v>
      </c>
    </row>
  </sheetData>
  <conditionalFormatting sqref="E11:E13">
    <cfRule type="expression" priority="2" aboveAverage="0" equalAverage="0" bottom="0" percent="0" rank="0" text="" dxfId="0">
      <formula>$E11="Complete"</formula>
    </cfRule>
    <cfRule type="expression" priority="3" aboveAverage="0" equalAverage="0" bottom="0" percent="0" rank="0" text="" dxfId="2">
      <formula>$E11="In progress"</formula>
    </cfRule>
    <cfRule type="expression" priority="4" aboveAverage="0" equalAverage="0" bottom="0" percent="0" rank="0" text="" dxfId="1">
      <formula>$E11="Not attempted"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2026-05-14T06:07:26Z</dcterms:created>
  <dc:creator>openpyxl</dc:creator>
  <dc:description/>
  <dc:language>en-US</dc:language>
  <cp:lastModifiedBy/>
  <dcterms:modified xsi:type="dcterms:W3CDTF">2026-05-14T06:07:26Z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