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Prompt Builder" sheetId="2" state="visible" r:id="rId4"/>
    <sheet name="2. Model Picker" sheetId="3" state="visible" r:id="rId5"/>
    <sheet name="3. Token Estimator" sheetId="4" state="visible" r:id="rId6"/>
    <sheet name="4. Sco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<sst xmlns="http://schemas.openxmlformats.org/spreadsheetml/2006/main" count="93" uniqueCount="86">
  <si>
    <t xml:space="preserve">ACTIVITY 1 · MID DECK 1</t>
  </si>
  <si>
    <t xml:space="preserve">Build Your First Bedrock Call</t>
  </si>
  <si>
    <t xml:space="preserve">Tune a Converse API call by toggling inputs. See what changes — without writing code.</t>
  </si>
  <si>
    <t xml:space="preserve">WHAT YOU'LL DO</t>
  </si>
  <si>
    <t xml:space="preserve">Three short activities. (1) Build a prompt by choosing roles and content. (2) Pick a model by use case. (3) Estimate input/output tokens before you call. Each sheet auto-grades. Your final score appears on the Score tab.</t>
  </si>
  <si>
    <t xml:space="preserve">SHEETS IN THIS WORKBOOK</t>
  </si>
  <si>
    <t xml:space="preserve">1. Prompt Builder</t>
  </si>
  <si>
    <t xml:space="preserve">Construct a Converse request with dropdowns. Spot the role-mixing bug.</t>
  </si>
  <si>
    <t xml:space="preserve">2. Model Picker</t>
  </si>
  <si>
    <t xml:space="preserve">Match the use case to the right model and inference config.</t>
  </si>
  <si>
    <t xml:space="preserve">3. Token Estimator</t>
  </si>
  <si>
    <t xml:space="preserve">Predict input/output tokens. The sheet computes your cost.</t>
  </si>
  <si>
    <t xml:space="preserve">4. Score</t>
  </si>
  <si>
    <t xml:space="preserve">Auto-totaled. Green = correct, red = revisit.</t>
  </si>
  <si>
    <t xml:space="preserve">ACTIVITY 1.1</t>
  </si>
  <si>
    <t xml:space="preserve">Prompt Builder</t>
  </si>
  <si>
    <t xml:space="preserve">Use the dropdowns to assemble a Converse request. The sheet flags issues.</t>
  </si>
  <si>
    <t xml:space="preserve">THE TASK</t>
  </si>
  <si>
    <t xml:space="preserve">You want the model to answer: "What is serverless computing?" Set role and content for each row below. Avoid the anti-pattern from Chapter 2.</t>
  </si>
  <si>
    <t xml:space="preserve">MESSAGE BLOCK</t>
  </si>
  <si>
    <t xml:space="preserve">ROLE</t>
  </si>
  <si>
    <t xml:space="preserve">TEXT CONTENT</t>
  </si>
  <si>
    <t xml:space="preserve">Block A</t>
  </si>
  <si>
    <t xml:space="preserve">system</t>
  </si>
  <si>
    <t xml:space="preserve">You are a helpful technical assistant.</t>
  </si>
  <si>
    <t xml:space="preserve">Block B</t>
  </si>
  <si>
    <t xml:space="preserve">user</t>
  </si>
  <si>
    <t xml:space="preserve">What is serverless computing?</t>
  </si>
  <si>
    <t xml:space="preserve">LIVE CHECK</t>
  </si>
  <si>
    <t xml:space="preserve">Role check (Block A)</t>
  </si>
  <si>
    <t xml:space="preserve">Role check (Block B)</t>
  </si>
  <si>
    <t xml:space="preserve">Content check (system)</t>
  </si>
  <si>
    <t xml:space="preserve">Content check (user)</t>
  </si>
  <si>
    <t xml:space="preserve">SCORE THIS ACTIVITY</t>
  </si>
  <si>
    <t xml:space="preserve">Points earned (out of 4)</t>
  </si>
  <si>
    <t xml:space="preserve">ACTIVITY 1.2</t>
  </si>
  <si>
    <t xml:space="preserve">Model Picker — match the use case</t>
  </si>
  <si>
    <t xml:space="preserve">Pick the model + temperature combination that fits each scenario.</t>
  </si>
  <si>
    <t xml:space="preserve">HOW TO USE</t>
  </si>
  <si>
    <t xml:space="preserve">Pick a value from each dropdown. The Verdict column shows OK or what's off. There is one good choice per row.</t>
  </si>
  <si>
    <t xml:space="preserve">#</t>
  </si>
  <si>
    <t xml:space="preserve">Scenario</t>
  </si>
  <si>
    <t xml:space="preserve">Model</t>
  </si>
  <si>
    <t xml:space="preserve">Temp</t>
  </si>
  <si>
    <t xml:space="preserve">Verdict</t>
  </si>
  <si>
    <t xml:space="preserve">Classify customer tickets into one of 5 categories. Same input should produce the same category.</t>
  </si>
  <si>
    <t xml:space="preserve">Write a marketing tagline. You want 10 different creative takes.</t>
  </si>
  <si>
    <t xml:space="preserve">Extract a date from a one-sentence email. Production batch job, millions of rows.</t>
  </si>
  <si>
    <t xml:space="preserve">Summarize a long technical document into a 200-word abstract.</t>
  </si>
  <si>
    <t xml:space="preserve">ACTIVITY 1.3</t>
  </si>
  <si>
    <t xml:space="preserve">Token Estimator — what will this cost?</t>
  </si>
  <si>
    <t xml:space="preserve">Estimate tokens before you call. Compare to the deck's rule of thumb (~4 chars/token).</t>
  </si>
  <si>
    <t xml:space="preserve">HOW IT WORKS</t>
  </si>
  <si>
    <t xml:space="preserve">Enter character counts for your input and expected output. The sheet computes estimated tokens (chars ÷ 4) and a sample cost. Try changing the model — see the bill shift.</t>
  </si>
  <si>
    <t xml:space="preserve">YOUR INPUTS</t>
  </si>
  <si>
    <t xml:space="preserve">ESTIMATED</t>
  </si>
  <si>
    <t xml:space="preserve">System prompt characters</t>
  </si>
  <si>
    <t xml:space="preserve">Input tokens (est.)</t>
  </si>
  <si>
    <t xml:space="preserve">User message characters</t>
  </si>
  <si>
    <t xml:space="preserve">Output tokens (est.)</t>
  </si>
  <si>
    <t xml:space="preserve">Expected output characters</t>
  </si>
  <si>
    <t xml:space="preserve">Nova Lite</t>
  </si>
  <si>
    <t xml:space="preserve">Input cost per call ($)</t>
  </si>
  <si>
    <t xml:space="preserve">Calls per day</t>
  </si>
  <si>
    <t xml:space="preserve">Output cost per call ($)</t>
  </si>
  <si>
    <t xml:space="preserve">Total cost per call ($)</t>
  </si>
  <si>
    <t xml:space="preserve">Total cost per day ($)</t>
  </si>
  <si>
    <t xml:space="preserve">SAMPLE PRICES (per million tokens, illustrative)</t>
  </si>
  <si>
    <t xml:space="preserve">Input $/MTok</t>
  </si>
  <si>
    <t xml:space="preserve">Output $/MTok</t>
  </si>
  <si>
    <t xml:space="preserve">Claude Haiku</t>
  </si>
  <si>
    <t xml:space="preserve">Claude Sonnet</t>
  </si>
  <si>
    <t xml:space="preserve">TRY THIS</t>
  </si>
  <si>
    <t xml:space="preserve">1) Change Model to Claude Sonnet — watch the daily cost jump.  2) Cut Output characters in half — see how output dominates.  3) Set Calls per day to 100,000 — what does a chatty agent really cost?</t>
  </si>
  <si>
    <t xml:space="preserve">DID YOU EXPLORE?</t>
  </si>
  <si>
    <t xml:space="preserve">Tick when done</t>
  </si>
  <si>
    <t xml:space="preserve">☐</t>
  </si>
  <si>
    <t xml:space="preserve">ACTIVITY 1 · FINAL</t>
  </si>
  <si>
    <t xml:space="preserve">Your Score</t>
  </si>
  <si>
    <t xml:space="preserve">Auto-totaled from every sheet. Revisit anything red.</t>
  </si>
  <si>
    <t xml:space="preserve">Activity</t>
  </si>
  <si>
    <t xml:space="preserve">Points</t>
  </si>
  <si>
    <t xml:space="preserve">Out of</t>
  </si>
  <si>
    <t xml:space="preserve">Status</t>
  </si>
  <si>
    <t xml:space="preserve">3. Token Estimator (exploration)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</si>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</sst>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0.000000"/>
    <numFmt numFmtId="167" formatCode="\$#,##0.00"/>
    <numFmt numFmtId="168" formatCode="\$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.5"/>
      <color rgb="FF334155"/>
      <name val="Calibri"/>
      <family val="0"/>
      <charset val="1"/>
    </font>
    <font>
      <b val="true"/>
      <sz val="11"/>
      <name val="Cambria"/>
      <family val="0"/>
      <charset val="1"/>
    </font>
    <font>
      <sz val="10.5"/>
      <color rgb="FF0F172A"/>
      <name val="Calibri"/>
      <family val="0"/>
      <charset val="1"/>
    </font>
    <font>
      <b val="true"/>
      <sz val="18"/>
      <color rgb="FFB4530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B45309"/>
      <name val="Calibri"/>
      <family val="0"/>
      <charset val="1"/>
    </font>
    <font>
      <b val="true"/>
      <sz val="12"/>
      <color rgb="FFB45309"/>
      <name val="Calibri"/>
      <family val="0"/>
      <charset val="1"/>
    </font>
    <font>
      <b val="true"/>
      <sz val="9"/>
      <color rgb="FF047857"/>
      <name val="Calibri"/>
      <family val="0"/>
      <charset val="1"/>
    </font>
    <font>
      <sz val="11"/>
      <color rgb="FF0F172A"/>
      <name val="Calibri"/>
      <family val="0"/>
      <charset val="1"/>
    </font>
    <font>
      <sz val="11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D1FAE5"/>
        <bgColor rgb="FFDBEAFE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26"/>
    <col collapsed="false" customWidth="true" hidden="false" outlineLevel="0" max="7" min="7" style="0" width="12"/>
    <col collapsed="false" customWidth="true" hidden="false" outlineLevel="0" max="8" min="8" style="0" width="2"/>
  </cols>
  <sheetData>
    <row r="2" customFormat="false" ht="13.5" hidden="false" customHeight="tru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8" hidden="false" customHeight="tru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</row>
    <row r="7" customFormat="false" ht="36" hidden="false" customHeight="true" outlineLevel="0" collapsed="false">
      <c r="B7" s="5" t="s">
        <v>4</v>
      </c>
      <c r="C7" s="5"/>
      <c r="D7" s="5"/>
      <c r="E7" s="5"/>
      <c r="F7" s="5"/>
      <c r="G7" s="5"/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7" t="s">
        <v>6</v>
      </c>
      <c r="C11" s="8" t="s">
        <v>7</v>
      </c>
      <c r="D11" s="8"/>
      <c r="E11" s="8"/>
      <c r="F11" s="8"/>
      <c r="G11" s="8"/>
    </row>
    <row r="12" customFormat="false" ht="15" hidden="false" customHeight="false" outlineLevel="0" collapsed="false">
      <c r="B12" s="7" t="s">
        <v>8</v>
      </c>
      <c r="C12" s="8" t="s">
        <v>9</v>
      </c>
      <c r="D12" s="8"/>
      <c r="E12" s="8"/>
      <c r="F12" s="8"/>
      <c r="G12" s="8"/>
    </row>
    <row r="13" customFormat="false" ht="15" hidden="false" customHeight="false" outlineLevel="0" collapsed="false">
      <c r="B13" s="7" t="s">
        <v>10</v>
      </c>
      <c r="C13" s="8" t="s">
        <v>11</v>
      </c>
      <c r="D13" s="8"/>
      <c r="E13" s="8"/>
      <c r="F13" s="8"/>
      <c r="G13" s="8"/>
    </row>
    <row r="14" customFormat="false" ht="15" hidden="false" customHeight="false" outlineLevel="0" collapsed="false">
      <c r="B14" s="7" t="s">
        <v>12</v>
      </c>
      <c r="C14" s="8" t="s">
        <v>13</v>
      </c>
      <c r="D14" s="8"/>
      <c r="E14" s="8"/>
      <c r="F14" s="8"/>
      <c r="G14" s="8"/>
    </row>
  </sheetData>
  <mergeCells count="6">
    <mergeCell ref="B6:G6"/>
    <mergeCell ref="B7:G7"/>
    <mergeCell ref="C11:G11"/>
    <mergeCell ref="C12:G12"/>
    <mergeCell ref="C13:G13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2"/>
  </cols>
  <sheetData>
    <row r="2" customFormat="false" ht="13.5" hidden="false" customHeight="true" outlineLevel="0" collapsed="false">
      <c r="B2" s="1" t="s">
        <v>14</v>
      </c>
    </row>
    <row r="3" customFormat="false" ht="27.75" hidden="false" customHeight="true" outlineLevel="0" collapsed="false">
      <c r="B3" s="2" t="s">
        <v>15</v>
      </c>
    </row>
    <row r="4" customFormat="false" ht="18" hidden="false" customHeight="true" outlineLevel="0" collapsed="false">
      <c r="B4" s="3" t="s">
        <v>16</v>
      </c>
    </row>
    <row r="6" customFormat="false" ht="15" hidden="false" customHeight="false" outlineLevel="0" collapsed="false">
      <c r="B6" s="9" t="s">
        <v>17</v>
      </c>
      <c r="C6" s="9"/>
      <c r="D6" s="9"/>
      <c r="E6" s="9"/>
      <c r="F6" s="9"/>
    </row>
    <row r="7" customFormat="false" ht="36" hidden="false" customHeight="true" outlineLevel="0" collapsed="false">
      <c r="B7" s="10" t="s">
        <v>18</v>
      </c>
      <c r="C7" s="10"/>
      <c r="D7" s="10"/>
      <c r="E7" s="10"/>
      <c r="F7" s="10"/>
    </row>
    <row r="10" customFormat="false" ht="15" hidden="false" customHeight="false" outlineLevel="0" collapsed="false">
      <c r="B10" s="6" t="s">
        <v>19</v>
      </c>
      <c r="C10" s="6" t="s">
        <v>20</v>
      </c>
      <c r="E10" s="6" t="s">
        <v>21</v>
      </c>
    </row>
    <row r="11" customFormat="false" ht="15" hidden="false" customHeight="false" outlineLevel="0" collapsed="false">
      <c r="B11" s="11" t="s">
        <v>22</v>
      </c>
      <c r="C11" s="12" t="s">
        <v>23</v>
      </c>
      <c r="E11" s="12" t="s">
        <v>24</v>
      </c>
    </row>
    <row r="12" customFormat="false" ht="15" hidden="false" customHeight="false" outlineLevel="0" collapsed="false">
      <c r="B12" s="11" t="s">
        <v>25</v>
      </c>
      <c r="C12" s="12" t="s">
        <v>26</v>
      </c>
      <c r="E12" s="12" t="s">
        <v>27</v>
      </c>
    </row>
    <row r="15" customFormat="false" ht="15" hidden="false" customHeight="false" outlineLevel="0" collapsed="false">
      <c r="B15" s="6" t="s">
        <v>28</v>
      </c>
    </row>
    <row r="16" customFormat="false" ht="15" hidden="false" customHeight="false" outlineLevel="0" collapsed="false">
      <c r="B16" s="13" t="s">
        <v>29</v>
      </c>
      <c r="C16" s="14" t="str">
        <f aca="false">IF(C11="system","OK — system prompt is in the right place",IF(C11="user","Block A should be the system role, not user",IF(C11="(leave blank)","Block A is empty — pick a role","Wrong role for Block A")))</f>
        <v>OK — system prompt is in the right place</v>
      </c>
      <c r="D16" s="14"/>
      <c r="E16" s="14"/>
      <c r="F16" s="14"/>
    </row>
    <row r="17" customFormat="false" ht="15" hidden="false" customHeight="false" outlineLevel="0" collapsed="false">
      <c r="B17" s="13" t="s">
        <v>30</v>
      </c>
      <c r="C17" s="14" t="str">
        <f aca="false">IF(C12="user","OK — user message in the right place",IF(C12="system","Block B should be the user role, not system",IF(C12="(leave blank)","Block B is empty — pick a role","Wrong role for Block B")))</f>
        <v>OK — user message in the right place</v>
      </c>
      <c r="D17" s="14"/>
      <c r="E17" s="14"/>
      <c r="F17" s="14"/>
    </row>
    <row r="18" customFormat="false" ht="15" hidden="false" customHeight="false" outlineLevel="0" collapsed="false">
      <c r="B18" s="13" t="s">
        <v>31</v>
      </c>
      <c r="C18" s="14" t="str">
        <f aca="false">IF(E11="You are a helpful technical assistant.","OK — clean, behavior-only system prompt",IF(E11="You are a helpful technical assistant. The user asks: What is serverless computing?","ANTI-PATTERN — user question buried in system prompt",IF(E11="(empty)","System prompt is empty","Pick a value")))</f>
        <v>OK — clean, behavior-only system prompt</v>
      </c>
      <c r="D18" s="14"/>
      <c r="E18" s="14"/>
      <c r="F18" s="14"/>
    </row>
    <row r="19" customFormat="false" ht="15" hidden="false" customHeight="false" outlineLevel="0" collapsed="false">
      <c r="B19" s="13" t="s">
        <v>32</v>
      </c>
      <c r="C19" s="14" t="str">
        <f aca="false">IF(E12="What is serverless computing?","OK — user question in the user message",IF(E12="(empty)","User message is empty — the model has nothing to answer",IF(E12="The user asks: What is serverless computing?","Works but verbose — the simpler phrasing is cleaner","Pick a value")))</f>
        <v>OK — user question in the user message</v>
      </c>
      <c r="D19" s="14"/>
      <c r="E19" s="14"/>
      <c r="F19" s="14"/>
    </row>
    <row r="22" customFormat="false" ht="15" hidden="false" customHeight="false" outlineLevel="0" collapsed="false">
      <c r="B22" s="6" t="s">
        <v>33</v>
      </c>
    </row>
    <row r="23" customFormat="false" ht="22.05" hidden="false" customHeight="false" outlineLevel="0" collapsed="false">
      <c r="B23" s="0" t="s">
        <v>34</v>
      </c>
      <c r="C23" s="15" t="n">
        <f aca="false">COUNTIF(C16:C19,"OK*")</f>
        <v>4</v>
      </c>
    </row>
  </sheetData>
  <mergeCells count="6">
    <mergeCell ref="B6:F6"/>
    <mergeCell ref="B7:F7"/>
    <mergeCell ref="C16:F16"/>
    <mergeCell ref="C17:F17"/>
    <mergeCell ref="C18:F18"/>
    <mergeCell ref="C19:F19"/>
  </mergeCells>
  <conditionalFormatting sqref="C16:F19">
    <cfRule type="expression" priority="2" aboveAverage="0" equalAverage="0" bottom="0" percent="0" rank="0" text="" dxfId="0">
      <formula>LEFT($C16,2)="OK"</formula>
    </cfRule>
    <cfRule type="expression" priority="3" aboveAverage="0" equalAverage="0" bottom="0" percent="0" rank="0" text="" dxfId="1">
      <formula>AND(LEFT($C16,2)&lt;&gt;"OK", $C16&lt;&gt;"")</formula>
    </cfRule>
  </conditionalFormatting>
  <dataValidations count="3">
    <dataValidation allowBlank="true" errorStyle="stop" operator="between" showDropDown="false" showErrorMessage="false" showInputMessage="false" sqref="C11:C12" type="list">
      <formula1>"system,user,assistant,(leave blank)"</formula1>
      <formula2>0</formula2>
    </dataValidation>
    <dataValidation allowBlank="true" errorStyle="stop" operator="between" showDropDown="false" showErrorMessage="false" showInputMessage="false" sqref="E11" type="list">
      <formula1>"You are a helpful technical assistant.,You are a helpful technical assistant. The user asks: What is serverless computing?,(empty)"</formula1>
      <formula2>0</formula2>
    </dataValidation>
    <dataValidation allowBlank="true" errorStyle="stop" operator="between" showDropDown="false" showErrorMessage="false" showInputMessage="false" sqref="E12" type="list">
      <formula1>"What is serverless computing?,(empty),The user asks: What is serverless computing?"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"/>
  </cols>
  <sheetData>
    <row r="2" customFormat="false" ht="13.5" hidden="false" customHeight="true" outlineLevel="0" collapsed="false">
      <c r="B2" s="1" t="s">
        <v>35</v>
      </c>
    </row>
    <row r="3" customFormat="false" ht="27.75" hidden="false" customHeight="true" outlineLevel="0" collapsed="false">
      <c r="B3" s="2" t="s">
        <v>36</v>
      </c>
    </row>
    <row r="4" customFormat="false" ht="18" hidden="false" customHeight="true" outlineLevel="0" collapsed="false">
      <c r="B4" s="3" t="s">
        <v>37</v>
      </c>
    </row>
    <row r="6" customFormat="false" ht="15" hidden="false" customHeight="false" outlineLevel="0" collapsed="false">
      <c r="B6" s="9" t="s">
        <v>38</v>
      </c>
      <c r="C6" s="9"/>
      <c r="D6" s="9"/>
      <c r="E6" s="9"/>
      <c r="F6" s="9"/>
    </row>
    <row r="7" customFormat="false" ht="36" hidden="false" customHeight="true" outlineLevel="0" collapsed="false">
      <c r="B7" s="10" t="s">
        <v>39</v>
      </c>
      <c r="C7" s="10"/>
      <c r="D7" s="10"/>
      <c r="E7" s="10"/>
      <c r="F7" s="10"/>
    </row>
    <row r="10" customFormat="false" ht="15" hidden="false" customHeight="false" outlineLevel="0" collapsed="false">
      <c r="B10" s="16" t="s">
        <v>40</v>
      </c>
      <c r="C10" s="16" t="s">
        <v>41</v>
      </c>
      <c r="D10" s="16" t="s">
        <v>42</v>
      </c>
      <c r="E10" s="16" t="s">
        <v>43</v>
      </c>
      <c r="F10" s="16" t="s">
        <v>44</v>
      </c>
    </row>
    <row r="11" customFormat="false" ht="37.5" hidden="false" customHeight="true" outlineLevel="0" collapsed="false">
      <c r="B11" s="17" t="n">
        <v>1</v>
      </c>
      <c r="C11" s="18" t="s">
        <v>45</v>
      </c>
      <c r="D11" s="19"/>
      <c r="E11" s="19"/>
      <c r="F11" s="20" t="str">
        <f aca="false">IF(AND(D11="Nova Lite",E11="0.0"),"OK",IF(AND(D11="",E11=""),"",IF(D11&lt;&gt;"Nova Lite",IF(E11&lt;&gt;"0.0","Both off — check size and temp","Wrong model for this scenario"),"Wrong temperature for this scenario")))</f>
        <v/>
      </c>
    </row>
    <row r="12" customFormat="false" ht="37.5" hidden="false" customHeight="true" outlineLevel="0" collapsed="false">
      <c r="B12" s="17" t="n">
        <v>2</v>
      </c>
      <c r="C12" s="18" t="s">
        <v>46</v>
      </c>
      <c r="D12" s="19"/>
      <c r="E12" s="19"/>
      <c r="F12" s="20" t="str">
        <f aca="false">IF(AND(D12="Claude Sonnet",E12="0.9"),"OK",IF(AND(D12="",E12=""),"",IF(D12&lt;&gt;"Claude Sonnet",IF(E12&lt;&gt;"0.9","Both off — check size and temp","Wrong model for this scenario"),"Wrong temperature for this scenario")))</f>
        <v/>
      </c>
    </row>
    <row r="13" customFormat="false" ht="37.5" hidden="false" customHeight="true" outlineLevel="0" collapsed="false">
      <c r="B13" s="17" t="n">
        <v>3</v>
      </c>
      <c r="C13" s="18" t="s">
        <v>47</v>
      </c>
      <c r="D13" s="19"/>
      <c r="E13" s="19"/>
      <c r="F13" s="20" t="str">
        <f aca="false">IF(AND(D13="Nova Lite",E13="0.0"),"OK",IF(AND(D13="",E13=""),"",IF(D13&lt;&gt;"Nova Lite",IF(E13&lt;&gt;"0.0","Both off — check size and temp","Wrong model for this scenario"),"Wrong temperature for this scenario")))</f>
        <v/>
      </c>
    </row>
    <row r="14" customFormat="false" ht="37.5" hidden="false" customHeight="true" outlineLevel="0" collapsed="false">
      <c r="B14" s="17" t="n">
        <v>4</v>
      </c>
      <c r="C14" s="18" t="s">
        <v>48</v>
      </c>
      <c r="D14" s="19"/>
      <c r="E14" s="19"/>
      <c r="F14" s="20" t="str">
        <f aca="false">IF(AND(D14="Claude Sonnet",E14="0.3"),"OK",IF(AND(D14="",E14=""),"",IF(D14&lt;&gt;"Claude Sonnet",IF(E14&lt;&gt;"0.3","Both off — check size and temp","Wrong model for this scenario"),"Wrong temperature for this scenario")))</f>
        <v/>
      </c>
    </row>
    <row r="17" customFormat="false" ht="15" hidden="false" customHeight="false" outlineLevel="0" collapsed="false">
      <c r="B17" s="6" t="s">
        <v>33</v>
      </c>
    </row>
    <row r="18" customFormat="false" ht="22.05" hidden="false" customHeight="false" outlineLevel="0" collapsed="false">
      <c r="B18" s="0" t="s">
        <v>34</v>
      </c>
      <c r="C18" s="15" t="n">
        <f aca="false">COUNTIF(F11:F14,"OK")</f>
        <v>0</v>
      </c>
    </row>
  </sheetData>
  <mergeCells count="2">
    <mergeCell ref="B6:F6"/>
    <mergeCell ref="B7:F7"/>
  </mergeCells>
  <conditionalFormatting sqref="F11:F14">
    <cfRule type="expression" priority="2" aboveAverage="0" equalAverage="0" bottom="0" percent="0" rank="0" text="" dxfId="0">
      <formula>$F11="OK"</formula>
    </cfRule>
    <cfRule type="expression" priority="3" aboveAverage="0" equalAverage="0" bottom="0" percent="0" rank="0" text="" dxfId="1">
      <formula>AND($F11&lt;&gt;"OK", $F11&lt;&gt;"")</formula>
    </cfRule>
  </conditionalFormatting>
  <dataValidations count="2">
    <dataValidation allowBlank="true" errorStyle="stop" operator="between" showDropDown="false" showErrorMessage="false" showInputMessage="false" sqref="D11:D14" type="list">
      <formula1>"Nova Lite,Claude Haiku,Claude Sonnet,Llama 3.3 70B"</formula1>
      <formula2>0</formula2>
    </dataValidation>
    <dataValidation allowBlank="true" errorStyle="stop" operator="between" showDropDown="false" showErrorMessage="false" showInputMessage="false" sqref="E11:E14" type="list">
      <formula1>"0.0,0.3,0.7,0.9"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2"/>
  </cols>
  <sheetData>
    <row r="2" customFormat="false" ht="13.5" hidden="false" customHeight="true" outlineLevel="0" collapsed="false">
      <c r="B2" s="1" t="s">
        <v>49</v>
      </c>
    </row>
    <row r="3" customFormat="false" ht="27.75" hidden="false" customHeight="true" outlineLevel="0" collapsed="false">
      <c r="B3" s="2" t="s">
        <v>50</v>
      </c>
    </row>
    <row r="4" customFormat="false" ht="18" hidden="false" customHeight="true" outlineLevel="0" collapsed="false">
      <c r="B4" s="3" t="s">
        <v>51</v>
      </c>
    </row>
    <row r="6" customFormat="false" ht="15" hidden="false" customHeight="false" outlineLevel="0" collapsed="false">
      <c r="B6" s="9" t="s">
        <v>52</v>
      </c>
      <c r="C6" s="9"/>
      <c r="D6" s="9"/>
      <c r="E6" s="9"/>
      <c r="F6" s="9"/>
    </row>
    <row r="7" customFormat="false" ht="36" hidden="false" customHeight="true" outlineLevel="0" collapsed="false">
      <c r="B7" s="10" t="s">
        <v>53</v>
      </c>
      <c r="C7" s="10"/>
      <c r="D7" s="10"/>
      <c r="E7" s="10"/>
      <c r="F7" s="10"/>
    </row>
    <row r="10" customFormat="false" ht="15" hidden="false" customHeight="false" outlineLevel="0" collapsed="false">
      <c r="B10" s="6" t="s">
        <v>54</v>
      </c>
      <c r="E10" s="6" t="s">
        <v>55</v>
      </c>
    </row>
    <row r="11" customFormat="false" ht="15" hidden="false" customHeight="false" outlineLevel="0" collapsed="false">
      <c r="B11" s="0" t="s">
        <v>56</v>
      </c>
      <c r="C11" s="21" t="n">
        <v>120</v>
      </c>
      <c r="E11" s="22" t="s">
        <v>57</v>
      </c>
      <c r="F11" s="23" t="n">
        <f aca="false">ROUND((C11+C12)/4,0)</f>
        <v>50</v>
      </c>
    </row>
    <row r="12" customFormat="false" ht="15" hidden="false" customHeight="false" outlineLevel="0" collapsed="false">
      <c r="B12" s="0" t="s">
        <v>58</v>
      </c>
      <c r="C12" s="21" t="n">
        <v>80</v>
      </c>
      <c r="E12" s="22" t="s">
        <v>59</v>
      </c>
      <c r="F12" s="23" t="n">
        <f aca="false">ROUND(C13/4,0)</f>
        <v>150</v>
      </c>
    </row>
    <row r="13" customFormat="false" ht="15" hidden="false" customHeight="false" outlineLevel="0" collapsed="false">
      <c r="B13" s="0" t="s">
        <v>60</v>
      </c>
      <c r="C13" s="21" t="n">
        <v>600</v>
      </c>
    </row>
    <row r="14" customFormat="false" ht="15" hidden="false" customHeight="false" outlineLevel="0" collapsed="false">
      <c r="B14" s="0" t="s">
        <v>42</v>
      </c>
      <c r="C14" s="24" t="s">
        <v>61</v>
      </c>
      <c r="E14" s="22" t="s">
        <v>62</v>
      </c>
      <c r="F14" s="25" t="n">
        <f aca="false">(F11/1000000)*VLOOKUP(C14,B21:D23,2,FALSE())</f>
        <v>3E-006</v>
      </c>
    </row>
    <row r="15" customFormat="false" ht="15" hidden="false" customHeight="false" outlineLevel="0" collapsed="false">
      <c r="B15" s="0" t="s">
        <v>63</v>
      </c>
      <c r="C15" s="21" t="n">
        <v>1000</v>
      </c>
      <c r="E15" s="22" t="s">
        <v>64</v>
      </c>
      <c r="F15" s="25" t="n">
        <f aca="false">(F12/1000000)*VLOOKUP(C14,B21:D23,3,FALSE())</f>
        <v>3.6E-005</v>
      </c>
    </row>
    <row r="16" customFormat="false" ht="15" hidden="false" customHeight="false" outlineLevel="0" collapsed="false">
      <c r="E16" s="0" t="s">
        <v>65</v>
      </c>
      <c r="F16" s="26" t="n">
        <f aca="false">F14+F15</f>
        <v>3.9E-005</v>
      </c>
    </row>
    <row r="17" customFormat="false" ht="15" hidden="false" customHeight="false" outlineLevel="0" collapsed="false">
      <c r="E17" s="0" t="s">
        <v>66</v>
      </c>
      <c r="F17" s="27" t="n">
        <f aca="false">F16*C15</f>
        <v>0.039</v>
      </c>
    </row>
    <row r="19" customFormat="false" ht="15" hidden="false" customHeight="false" outlineLevel="0" collapsed="false">
      <c r="B19" s="6" t="s">
        <v>67</v>
      </c>
    </row>
    <row r="20" customFormat="false" ht="15" hidden="false" customHeight="false" outlineLevel="0" collapsed="false">
      <c r="B20" s="16" t="s">
        <v>42</v>
      </c>
      <c r="C20" s="16" t="s">
        <v>68</v>
      </c>
      <c r="D20" s="16" t="s">
        <v>69</v>
      </c>
    </row>
    <row r="21" customFormat="false" ht="15" hidden="false" customHeight="false" outlineLevel="0" collapsed="false">
      <c r="B21" s="28" t="s">
        <v>61</v>
      </c>
      <c r="C21" s="29" t="n">
        <v>0.06</v>
      </c>
      <c r="D21" s="29" t="n">
        <v>0.24</v>
      </c>
    </row>
    <row r="22" customFormat="false" ht="15" hidden="false" customHeight="false" outlineLevel="0" collapsed="false">
      <c r="B22" s="28" t="s">
        <v>70</v>
      </c>
      <c r="C22" s="29" t="n">
        <v>0.8</v>
      </c>
      <c r="D22" s="29" t="n">
        <v>4</v>
      </c>
    </row>
    <row r="23" customFormat="false" ht="15" hidden="false" customHeight="false" outlineLevel="0" collapsed="false">
      <c r="B23" s="28" t="s">
        <v>71</v>
      </c>
      <c r="C23" s="29" t="n">
        <v>3</v>
      </c>
      <c r="D23" s="29" t="n">
        <v>15</v>
      </c>
    </row>
    <row r="26" customFormat="false" ht="15" hidden="false" customHeight="false" outlineLevel="0" collapsed="false">
      <c r="B26" s="30" t="s">
        <v>72</v>
      </c>
      <c r="C26" s="30"/>
      <c r="D26" s="30"/>
      <c r="E26" s="30"/>
      <c r="F26" s="30"/>
    </row>
    <row r="27" customFormat="false" ht="36" hidden="false" customHeight="true" outlineLevel="0" collapsed="false">
      <c r="B27" s="31" t="s">
        <v>73</v>
      </c>
      <c r="C27" s="31"/>
      <c r="D27" s="31"/>
      <c r="E27" s="31"/>
      <c r="F27" s="31"/>
    </row>
    <row r="30" customFormat="false" ht="15" hidden="false" customHeight="false" outlineLevel="0" collapsed="false">
      <c r="B30" s="6" t="s">
        <v>74</v>
      </c>
    </row>
    <row r="31" customFormat="false" ht="15" hidden="false" customHeight="false" outlineLevel="0" collapsed="false">
      <c r="B31" s="0" t="s">
        <v>75</v>
      </c>
      <c r="C31" s="32" t="s">
        <v>76</v>
      </c>
    </row>
  </sheetData>
  <mergeCells count="4">
    <mergeCell ref="B6:F6"/>
    <mergeCell ref="B7:F7"/>
    <mergeCell ref="B26:F26"/>
    <mergeCell ref="B27:F27"/>
  </mergeCells>
  <dataValidations count="2">
    <dataValidation allowBlank="false" errorStyle="stop" operator="between" showDropDown="false" showErrorMessage="false" showInputMessage="false" sqref="C14" type="list">
      <formula1>"Nova Lite,Claude Haiku,Claude Sonnet"</formula1>
      <formula2>0</formula2>
    </dataValidation>
    <dataValidation allowBlank="true" errorStyle="stop" operator="between" showDropDown="false" showErrorMessage="false" showInputMessage="false" sqref="C31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77</v>
      </c>
    </row>
    <row r="3" customFormat="false" ht="27.75" hidden="false" customHeight="true" outlineLevel="0" collapsed="false">
      <c r="B3" s="2" t="s">
        <v>78</v>
      </c>
    </row>
    <row r="4" customFormat="false" ht="18" hidden="false" customHeight="true" outlineLevel="0" collapsed="false">
      <c r="B4" s="3" t="s">
        <v>79</v>
      </c>
    </row>
    <row r="10" customFormat="false" ht="15" hidden="false" customHeight="false" outlineLevel="0" collapsed="false">
      <c r="B10" s="16" t="s">
        <v>80</v>
      </c>
      <c r="C10" s="16" t="s">
        <v>81</v>
      </c>
      <c r="D10" s="16" t="s">
        <v>82</v>
      </c>
      <c r="E10" s="16" t="s">
        <v>83</v>
      </c>
    </row>
    <row r="11" customFormat="false" ht="15" hidden="false" customHeight="false" outlineLevel="0" collapsed="false">
      <c r="B11" s="33" t="s">
        <v>6</v>
      </c>
      <c r="C11" s="34" t="n">
        <f aca="false">'1. Prompt Builder'!C23</f>
        <v>4</v>
      </c>
      <c r="D11" s="35" t="n">
        <v>4</v>
      </c>
      <c r="E11" s="36" t="str">
        <f aca="false">IF(C11=D11,"Complete",IF(C11=0,"Not attempted","In progress"))</f>
        <v>Complete</v>
      </c>
    </row>
    <row r="12" customFormat="false" ht="15" hidden="false" customHeight="false" outlineLevel="0" collapsed="false">
      <c r="B12" s="33" t="s">
        <v>8</v>
      </c>
      <c r="C12" s="34" t="n">
        <f aca="false">'2. Model Picker'!C18</f>
        <v>0</v>
      </c>
      <c r="D12" s="35" t="n">
        <v>4</v>
      </c>
      <c r="E12" s="36" t="str">
        <f aca="false">IF(C12=D12,"Complete",IF(C12=0,"Not attempted","In progress"))</f>
        <v>Not attempted</v>
      </c>
    </row>
    <row r="13" customFormat="false" ht="15" hidden="false" customHeight="false" outlineLevel="0" collapsed="false">
      <c r="B13" s="33" t="s">
        <v>84</v>
      </c>
      <c r="C13" s="34" t="n">
        <f aca="false">IF('3. Token Estimator'!C31="☑",2,0)</f>
        <v>0</v>
      </c>
      <c r="D13" s="35" t="n">
        <v>2</v>
      </c>
      <c r="E13" s="36" t="str">
        <f aca="false">IF(C13=D13,"Complete",IF(C13=0,"Not attempted","In progress"))</f>
        <v>Not attempted</v>
      </c>
    </row>
    <row r="15" customFormat="false" ht="17.35" hidden="false" customHeight="false" outlineLevel="0" collapsed="false">
      <c r="B15" s="37" t="s">
        <v>85</v>
      </c>
      <c r="C15" s="38" t="n">
        <f aca="false">SUM(C11:C13)</f>
        <v>4</v>
      </c>
      <c r="D15" s="38" t="n">
        <f aca="false">SUM(D11:D13)</f>
        <v>10</v>
      </c>
      <c r="E15" s="38" t="str">
        <f aca="false">ROUND(C15/D15*100,0)&amp;"%"</f>
        <v>40%</v>
      </c>
    </row>
  </sheetData>
  <conditionalFormatting sqref="E11:E13">
    <cfRule type="expression" priority="2" aboveAverage="0" equalAverage="0" bottom="0" percent="0" rank="0" text="" dxfId="0">
      <formula>$E11="Complete"</formula>
    </cfRule>
    <cfRule type="expression" priority="3" aboveAverage="0" equalAverage="0" bottom="0" percent="0" rank="0" text="" dxfId="2">
      <formula>$E11="In progress"</formula>
    </cfRule>
    <cfRule type="expression" priority="4" aboveAverage="0" equalAverage="0" bottom="0" percent="0" rank="0" text="" dxfId="1">
      <formula>$E11="Not attempted"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2026-05-14T06:07:25Z</dcterms:created>
  <dc:creator>openpyxl</dc:creator>
  <dc:description/>
  <dc:language>en-US</dc:language>
  <cp:lastModifiedBy/>
  <dcterms:modified xsi:type="dcterms:W3CDTF">2026-05-14T06:07:26Z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