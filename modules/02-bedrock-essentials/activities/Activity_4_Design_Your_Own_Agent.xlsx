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. Agent Designer" sheetId="2" state="visible" r:id="rId4"/>
    <sheet name="2. Guardrail Builder" sheetId="3" state="visible" r:id="rId5"/>
    <sheet name="3. Architecture Review" sheetId="4" state="visible" r:id="rId6"/>
    <sheet name="4. Scor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<sst xmlns="http://schemas.openxmlformats.org/spreadsheetml/2006/main" count="78" uniqueCount="69">
  <si>
    <t xml:space="preserve">ACTIVITY 4 · AFTER DECK 2</t>
  </si>
  <si>
    <t xml:space="preserve">Design Your Own Agent</t>
  </si>
  <si>
    <t xml:space="preserve">Pick the right pieces. Configure a guardrail. Spot the architecture mistakes.</t>
  </si>
  <si>
    <t xml:space="preserve">WHAT YOU'LL DO</t>
  </si>
  <si>
    <t xml:space="preserve">Three activities. (1) Design an HR agent by selecting tools and a model. (2) Configure a guardrail for that agent — pick the right filter set. (3) Review a buggy production architecture and flag issues.</t>
  </si>
  <si>
    <t xml:space="preserve">SHEETS IN THIS WORKBOOK</t>
  </si>
  <si>
    <t xml:space="preserve">1. Agent Designer</t>
  </si>
  <si>
    <t xml:space="preserve">Configure model, tools, and system prompt for an HR agent.</t>
  </si>
  <si>
    <t xml:space="preserve">2. Guardrail Builder</t>
  </si>
  <si>
    <t xml:space="preserve">Toggle filter types. The sheet flags missing ones.</t>
  </si>
  <si>
    <t xml:space="preserve">3. Architecture Review</t>
  </si>
  <si>
    <t xml:space="preserve">Spot four common production mistakes.</t>
  </si>
  <si>
    <t xml:space="preserve">4. Score</t>
  </si>
  <si>
    <t xml:space="preserve">Auto-totaled.</t>
  </si>
  <si>
    <t xml:space="preserve">ACTIVITY 4.1</t>
  </si>
  <si>
    <t xml:space="preserve">Design an HR agent</t>
  </si>
  <si>
    <t xml:space="preserve">Use case: answer HR policy questions, look up an employee's vacation balance.</t>
  </si>
  <si>
    <t xml:space="preserve">THE BRIEF</t>
  </si>
  <si>
    <t xml:space="preserve">Build an agent that: (1) answers policy questions from internal HR docs, (2) returns vacation-day balances via a Workday API, (3) keeps things professional. Pick one option per row.</t>
  </si>
  <si>
    <t xml:space="preserve">DECISION</t>
  </si>
  <si>
    <t xml:space="preserve">YOUR CHOICE</t>
  </si>
  <si>
    <t xml:space="preserve">VERDICT</t>
  </si>
  <si>
    <t xml:space="preserve">Model</t>
  </si>
  <si>
    <t xml:space="preserve">KB tool</t>
  </si>
  <si>
    <t xml:space="preserve">Vacation-balance tool</t>
  </si>
  <si>
    <t xml:space="preserve">Temperature</t>
  </si>
  <si>
    <t xml:space="preserve">System prompt steering</t>
  </si>
  <si>
    <t xml:space="preserve">SCORE THIS ACTIVITY</t>
  </si>
  <si>
    <t xml:space="preserve">Points earned (out of 5)</t>
  </si>
  <si>
    <t xml:space="preserve">ACTIVITY 4.2</t>
  </si>
  <si>
    <t xml:space="preserve">Configure the guardrail</t>
  </si>
  <si>
    <t xml:space="preserve">For each filter type, decide if it's needed for the HR agent.</t>
  </si>
  <si>
    <t xml:space="preserve">THE PRINCIPLE</t>
  </si>
  <si>
    <t xml:space="preserve">Guardrails are content filters enforced before and after every model call. Toggle each filter ON if the HR agent needs it. Some are essential, some aren't.</t>
  </si>
  <si>
    <t xml:space="preserve">FILTER TYPE</t>
  </si>
  <si>
    <t xml:space="preserve">ENABLE?</t>
  </si>
  <si>
    <t xml:space="preserve">WHY YOU MIGHT NEED IT</t>
  </si>
  <si>
    <t xml:space="preserve">Content filters (hate, violence, sexual, prompt attacks)</t>
  </si>
  <si>
    <t xml:space="preserve">Internet-facing bots get probed. Prompt injection attempts are real.</t>
  </si>
  <si>
    <t xml:space="preserve">Denied topics (legal advice, medical diagnosis)</t>
  </si>
  <si>
    <t xml:space="preserve">HR-adjacent questions about leave/benefits can drift into legal territory.</t>
  </si>
  <si>
    <t xml:space="preserve">Sensitive information filter (PII: SSN, address, etc.)</t>
  </si>
  <si>
    <t xml:space="preserve">HR documents and replies may contain PII. Mask it.</t>
  </si>
  <si>
    <t xml:space="preserve">Word filter (profanity)</t>
  </si>
  <si>
    <t xml:space="preserve">Brand safety for HR-facing communications.</t>
  </si>
  <si>
    <t xml:space="preserve">Contextual grounding check (verify response against retrieved docs)</t>
  </si>
  <si>
    <t xml:space="preserve">Reduces hallucinated policy answers — checks output against the KB sources.</t>
  </si>
  <si>
    <t xml:space="preserve">ACTIVITY 4.3</t>
  </si>
  <si>
    <t xml:space="preserve">Architecture Review — spot the production mistakes</t>
  </si>
  <si>
    <t xml:space="preserve">A team built an agent and shipped it. For each finding, mark BUG or NOT A BUG.</t>
  </si>
  <si>
    <t xml:space="preserve">THE SETUP</t>
  </si>
  <si>
    <t xml:space="preserve">The team built a public-facing legal-research agent on Bedrock. Review their architectural choices. Some are mistakes, some are fine.</t>
  </si>
  <si>
    <t xml:space="preserve">#</t>
  </si>
  <si>
    <t xml:space="preserve">FINDING</t>
  </si>
  <si>
    <t xml:space="preserve">YOUR CALL</t>
  </si>
  <si>
    <t xml:space="preserve">Same guardrail ID is referenced from plain Converse, KB queries, AND the Strands agent.</t>
  </si>
  <si>
    <t xml:space="preserve">They edit the guardrail thresholds in place and keep the same version number for dev and prod.</t>
  </si>
  <si>
    <t xml:space="preserve">The get_user_data tool returns data for any employee_id without validating who's asking.</t>
  </si>
  <si>
    <t xml:space="preserve">KNOWLEDGE_BASE_ID is hardcoded in the agent constructor and the value is committed to git.</t>
  </si>
  <si>
    <t xml:space="preserve">Strands Agent calls the same Converse API underneath the SDK abstraction.</t>
  </si>
  <si>
    <t xml:space="preserve">System prompt: "You are a helpful assistant." The agent has 8 tools.</t>
  </si>
  <si>
    <t xml:space="preserve">Points earned (out of 6)</t>
  </si>
  <si>
    <t xml:space="preserve">ACTIVITY 4 · FINAL</t>
  </si>
  <si>
    <t xml:space="preserve">Your Score</t>
  </si>
  <si>
    <t xml:space="preserve">Activity</t>
  </si>
  <si>
    <t xml:space="preserve">Points</t>
  </si>
  <si>
    <t xml:space="preserve">Out of</t>
  </si>
  <si>
    <t xml:space="preserve">Status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</si>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</sst>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B45309"/>
      <name val="Calibri"/>
      <family val="0"/>
      <charset val="1"/>
    </font>
    <font>
      <b val="true"/>
      <sz val="20"/>
      <color rgb="FF0F172A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sz val="10"/>
      <color rgb="FF334155"/>
      <name val="Calibri"/>
      <family val="0"/>
      <charset val="1"/>
    </font>
    <font>
      <b val="true"/>
      <sz val="10"/>
      <color rgb="FF64748B"/>
      <name val="Calibri"/>
      <family val="0"/>
      <charset val="1"/>
    </font>
    <font>
      <b val="true"/>
      <sz val="11"/>
      <color rgb="FF0F172A"/>
      <name val="Calibri"/>
      <family val="0"/>
      <charset val="1"/>
    </font>
    <font>
      <sz val="10.5"/>
      <color rgb="FF334155"/>
      <name val="Calibri"/>
      <family val="0"/>
      <charset val="1"/>
    </font>
    <font>
      <sz val="11"/>
      <color rgb="FF0F172A"/>
      <name val="Calibri"/>
      <family val="0"/>
      <charset val="1"/>
    </font>
    <font>
      <b val="true"/>
      <sz val="18"/>
      <color rgb="FFB4530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.5"/>
      <color rgb="FF334155"/>
      <name val="Calibri"/>
      <family val="0"/>
      <charset val="1"/>
    </font>
    <font>
      <sz val="10.5"/>
      <color rgb="FF0F172A"/>
      <name val="Calibri"/>
      <family val="0"/>
      <charset val="1"/>
    </font>
    <font>
      <sz val="11"/>
      <color rgb="FF64748B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EF3C7"/>
        <bgColor rgb="FFFEE2E2"/>
      </patternFill>
    </fill>
    <fill>
      <patternFill patternType="solid">
        <fgColor rgb="FFF1F5F9"/>
        <bgColor rgb="FFF8FAFC"/>
      </patternFill>
    </fill>
    <fill>
      <patternFill patternType="solid">
        <fgColor rgb="FFDBEAFE"/>
        <bgColor rgb="FFE2E8F0"/>
      </patternFill>
    </fill>
    <fill>
      <patternFill patternType="solid">
        <fgColor rgb="FFF8FAFC"/>
        <bgColor rgb="FFFFFFFF"/>
      </patternFill>
    </fill>
    <fill>
      <patternFill patternType="solid">
        <fgColor rgb="FF0F172A"/>
        <bgColor rgb="FF000000"/>
      </patternFill>
    </fill>
    <fill>
      <patternFill patternType="solid">
        <fgColor rgb="FFB45309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E2E8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D1FAE5"/>
      <rgbColor rgb="FFF8FAFC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B45309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56"/>
    <col collapsed="false" customWidth="true" hidden="false" outlineLevel="0" max="4" min="4" style="0" width="2"/>
  </cols>
  <sheetData>
    <row r="2" customFormat="false" ht="13.5" hidden="false" customHeight="true" outlineLevel="0" collapsed="false">
      <c r="B2" s="1" t="s">
        <v>0</v>
      </c>
    </row>
    <row r="3" customFormat="false" ht="27.75" hidden="false" customHeight="true" outlineLevel="0" collapsed="false">
      <c r="B3" s="2" t="s">
        <v>1</v>
      </c>
    </row>
    <row r="4" customFormat="false" ht="18" hidden="false" customHeight="tru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4"/>
    </row>
    <row r="7" customFormat="false" ht="36" hidden="false" customHeight="true" outlineLevel="0" collapsed="false">
      <c r="B7" s="5" t="s">
        <v>4</v>
      </c>
      <c r="C7" s="5"/>
    </row>
    <row r="10" customFormat="false" ht="15" hidden="false" customHeight="false" outlineLevel="0" collapsed="false">
      <c r="B10" s="6" t="s">
        <v>5</v>
      </c>
    </row>
    <row r="11" customFormat="false" ht="15" hidden="false" customHeight="false" outlineLevel="0" collapsed="false">
      <c r="B11" s="7" t="s">
        <v>6</v>
      </c>
      <c r="C11" s="8" t="s">
        <v>7</v>
      </c>
    </row>
    <row r="12" customFormat="false" ht="15" hidden="false" customHeight="false" outlineLevel="0" collapsed="false">
      <c r="B12" s="7" t="s">
        <v>8</v>
      </c>
      <c r="C12" s="8" t="s">
        <v>9</v>
      </c>
    </row>
    <row r="13" customFormat="false" ht="15" hidden="false" customHeight="false" outlineLevel="0" collapsed="false">
      <c r="B13" s="7" t="s">
        <v>10</v>
      </c>
      <c r="C13" s="8" t="s">
        <v>11</v>
      </c>
    </row>
    <row r="14" customFormat="false" ht="15" hidden="false" customHeight="false" outlineLevel="0" collapsed="false">
      <c r="B14" s="7" t="s">
        <v>12</v>
      </c>
      <c r="C14" s="8" t="s">
        <v>13</v>
      </c>
    </row>
  </sheetData>
  <mergeCells count="2">
    <mergeCell ref="B6:C6"/>
    <mergeCell ref="B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3" min="3" style="0" width="30"/>
    <col collapsed="false" customWidth="true" hidden="false" outlineLevel="0" max="4" min="4" style="0" width="4"/>
    <col collapsed="false" customWidth="true" hidden="false" outlineLevel="0" max="5" min="5" style="0" width="42"/>
    <col collapsed="false" customWidth="true" hidden="false" outlineLevel="0" max="6" min="6" style="0" width="2"/>
  </cols>
  <sheetData>
    <row r="2" customFormat="false" ht="13.5" hidden="false" customHeight="true" outlineLevel="0" collapsed="false">
      <c r="B2" s="1" t="s">
        <v>14</v>
      </c>
    </row>
    <row r="3" customFormat="false" ht="27.75" hidden="false" customHeight="true" outlineLevel="0" collapsed="false">
      <c r="B3" s="2" t="s">
        <v>15</v>
      </c>
    </row>
    <row r="4" customFormat="false" ht="18" hidden="false" customHeight="true" outlineLevel="0" collapsed="false">
      <c r="B4" s="3" t="s">
        <v>16</v>
      </c>
    </row>
    <row r="6" customFormat="false" ht="15" hidden="false" customHeight="false" outlineLevel="0" collapsed="false">
      <c r="B6" s="9" t="s">
        <v>17</v>
      </c>
      <c r="C6" s="9"/>
      <c r="D6" s="9"/>
      <c r="E6" s="9"/>
    </row>
    <row r="7" customFormat="false" ht="36" hidden="false" customHeight="true" outlineLevel="0" collapsed="false">
      <c r="B7" s="10" t="s">
        <v>18</v>
      </c>
      <c r="C7" s="10"/>
      <c r="D7" s="10"/>
      <c r="E7" s="10"/>
    </row>
    <row r="10" customFormat="false" ht="15" hidden="false" customHeight="false" outlineLevel="0" collapsed="false">
      <c r="B10" s="6" t="s">
        <v>19</v>
      </c>
      <c r="C10" s="6" t="s">
        <v>20</v>
      </c>
      <c r="E10" s="6" t="s">
        <v>21</v>
      </c>
    </row>
    <row r="11" customFormat="false" ht="36" hidden="false" customHeight="true" outlineLevel="0" collapsed="false">
      <c r="B11" s="11" t="s">
        <v>22</v>
      </c>
      <c r="C11" s="12"/>
      <c r="E11" s="13" t="str">
        <f aca="false">IF(C11="Claude Sonnet","OK — capable enough for nuanced policy questions and tool routing.",IF(C11="","","Nova Lite may struggle with policy nuance; Haiku is cheaper but less precise. Sonnet is the safer call."))</f>
        <v/>
      </c>
    </row>
    <row r="12" customFormat="false" ht="36" hidden="false" customHeight="true" outlineLevel="0" collapsed="false">
      <c r="B12" s="11" t="s">
        <v>23</v>
      </c>
      <c r="C12" s="12"/>
      <c r="E12" s="13" t="str">
        <f aca="false">IF(C12="retrieve (built-in)","OK — the built-in retrieve handles Bedrock KB integration cleanly.",IF(C12="","","Writing a custom KB tool re-implements what retrieve gives you for free."))</f>
        <v/>
      </c>
    </row>
    <row r="13" customFormat="false" ht="36" hidden="false" customHeight="true" outlineLevel="0" collapsed="false">
      <c r="B13" s="11" t="s">
        <v>24</v>
      </c>
      <c r="C13" s="12"/>
      <c r="E13" s="13" t="str">
        <f aca="false">IF(C13="@tool get_vacation_balance(employee_id)","OK — vacation balance is dynamic API state. Must be a tool, not RAG.",IF(C13="","","Per-employee balances change daily. A KB would be stale and leaky."))</f>
        <v/>
      </c>
    </row>
    <row r="14" customFormat="false" ht="36" hidden="false" customHeight="true" outlineLevel="0" collapsed="false">
      <c r="B14" s="11" t="s">
        <v>25</v>
      </c>
      <c r="C14" s="12"/>
      <c r="E14" s="13" t="str">
        <f aca="false">IF(C14="0.3","OK — slightly creative for natural responses, deterministic enough for policy.",IF(C14="","","0.7+ makes policy responses inconsistent; 0.0 is overly robotic."))</f>
        <v/>
      </c>
    </row>
    <row r="15" customFormat="false" ht="36" hidden="false" customHeight="true" outlineLevel="0" collapsed="false">
      <c r="B15" s="11" t="s">
        <v>26</v>
      </c>
      <c r="C15" s="12"/>
      <c r="E15" s="13" t="str">
        <f aca="false">IF(C15="Explicit: use retrieve for policy and lookup_course for vacation","OK — explicit tool-routing hints in the system prompt are the first lever for steering an agent.",IF(C15="","","Generic prompts let the model guess; no system prompt is even worse."))</f>
        <v/>
      </c>
    </row>
    <row r="18" customFormat="false" ht="15" hidden="false" customHeight="false" outlineLevel="0" collapsed="false">
      <c r="B18" s="6" t="s">
        <v>27</v>
      </c>
    </row>
    <row r="19" customFormat="false" ht="22.05" hidden="false" customHeight="false" outlineLevel="0" collapsed="false">
      <c r="B19" s="0" t="s">
        <v>28</v>
      </c>
      <c r="C19" s="14" t="n">
        <f aca="false">COUNTIF(E11:E15,"OK*")</f>
        <v>0</v>
      </c>
    </row>
  </sheetData>
  <mergeCells count="2">
    <mergeCell ref="B6:E6"/>
    <mergeCell ref="B7:E7"/>
  </mergeCells>
  <conditionalFormatting sqref="E11:E15">
    <cfRule type="expression" priority="2" aboveAverage="0" equalAverage="0" bottom="0" percent="0" rank="0" text="" dxfId="0">
      <formula>LEFT($E11,2)="OK"</formula>
    </cfRule>
    <cfRule type="expression" priority="3" aboveAverage="0" equalAverage="0" bottom="0" percent="0" rank="0" text="" dxfId="1">
      <formula>AND(LEFT($E11,2)&lt;&gt;"OK", $E11&lt;&gt;"")</formula>
    </cfRule>
  </conditionalFormatting>
  <dataValidations count="5">
    <dataValidation allowBlank="true" errorStyle="stop" operator="between" showDropDown="false" showErrorMessage="false" showInputMessage="false" sqref="C11" type="list">
      <formula1>"Nova Lite,Claude Haiku,Claude Sonnet"</formula1>
      <formula2>0</formula2>
    </dataValidation>
    <dataValidation allowBlank="true" errorStyle="stop" operator="between" showDropDown="false" showErrorMessage="false" showInputMessage="false" sqref="C12" type="list">
      <formula1>"None,retrieve (built-in),custom lookup_policy()"</formula1>
      <formula2>0</formula2>
    </dataValidation>
    <dataValidation allowBlank="true" errorStyle="stop" operator="between" showDropDown="false" showErrorMessage="false" showInputMessage="false" sqref="C13" type="list">
      <formula1>"None,@tool get_vacation_balance(employee_id),Add it as a KB document"</formula1>
      <formula2>0</formula2>
    </dataValidation>
    <dataValidation allowBlank="true" errorStyle="stop" operator="between" showDropDown="false" showErrorMessage="false" showInputMessage="false" sqref="C14" type="list">
      <formula1>"0.0,0.3,0.7,0.9"</formula1>
      <formula2>0</formula2>
    </dataValidation>
    <dataValidation allowBlank="true" errorStyle="stop" operator="between" showDropDown="false" showErrorMessage="false" showInputMessage="false" sqref="C15" type="list">
      <formula1>"Generic helpful assistant prompt,Explicit: use retrieve for policy and lookup_course for vacation,No system prompt"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2"/>
  </cols>
  <sheetData>
    <row r="2" customFormat="false" ht="13.5" hidden="false" customHeight="true" outlineLevel="0" collapsed="false">
      <c r="B2" s="1" t="s">
        <v>29</v>
      </c>
    </row>
    <row r="3" customFormat="false" ht="27.75" hidden="false" customHeight="true" outlineLevel="0" collapsed="false">
      <c r="B3" s="2" t="s">
        <v>30</v>
      </c>
    </row>
    <row r="4" customFormat="false" ht="18" hidden="false" customHeight="true" outlineLevel="0" collapsed="false">
      <c r="B4" s="3" t="s">
        <v>31</v>
      </c>
    </row>
    <row r="6" customFormat="false" ht="15" hidden="false" customHeight="false" outlineLevel="0" collapsed="false">
      <c r="B6" s="9" t="s">
        <v>32</v>
      </c>
      <c r="C6" s="9"/>
      <c r="D6" s="9"/>
      <c r="E6" s="9"/>
    </row>
    <row r="7" customFormat="false" ht="36" hidden="false" customHeight="true" outlineLevel="0" collapsed="false">
      <c r="B7" s="10" t="s">
        <v>33</v>
      </c>
      <c r="C7" s="10"/>
      <c r="D7" s="10"/>
      <c r="E7" s="10"/>
    </row>
    <row r="10" customFormat="false" ht="15" hidden="false" customHeight="false" outlineLevel="0" collapsed="false">
      <c r="B10" s="15" t="s">
        <v>34</v>
      </c>
      <c r="C10" s="15" t="s">
        <v>35</v>
      </c>
      <c r="D10" s="15" t="s">
        <v>36</v>
      </c>
      <c r="E10" s="15" t="s">
        <v>21</v>
      </c>
    </row>
    <row r="11" customFormat="false" ht="31.5" hidden="false" customHeight="true" outlineLevel="0" collapsed="false">
      <c r="B11" s="16" t="s">
        <v>37</v>
      </c>
      <c r="C11" s="17"/>
      <c r="D11" s="18" t="s">
        <v>38</v>
      </c>
      <c r="E11" s="13" t="str">
        <f aca="false">IF(C11="ON","OK — essential for any user-facing agent.",IF(C11="","","MISSED — a public-facing bot without basic content filters is a liability."))</f>
        <v/>
      </c>
    </row>
    <row r="12" customFormat="false" ht="31.5" hidden="false" customHeight="true" outlineLevel="0" collapsed="false">
      <c r="B12" s="16" t="s">
        <v>39</v>
      </c>
      <c r="C12" s="17"/>
      <c r="D12" s="18" t="s">
        <v>40</v>
      </c>
      <c r="E12" s="13" t="str">
        <f aca="false">IF(C12="ON","OK — block legal/medical advice; route those to humans.",IF(C12="","","MISSED — without this the bot may improvise legally risky answers."))</f>
        <v/>
      </c>
    </row>
    <row r="13" customFormat="false" ht="31.5" hidden="false" customHeight="true" outlineLevel="0" collapsed="false">
      <c r="B13" s="16" t="s">
        <v>41</v>
      </c>
      <c r="C13" s="17"/>
      <c r="D13" s="18" t="s">
        <v>42</v>
      </c>
      <c r="E13" s="13" t="str">
        <f aca="false">IF(C13="ON","OK — HR context is dense with PII; masking is non-negotiable.",IF(C13="","","MISSED — without PII filtering, the bot may surface SSNs or addresses."))</f>
        <v/>
      </c>
    </row>
    <row r="14" customFormat="false" ht="31.5" hidden="false" customHeight="true" outlineLevel="0" collapsed="false">
      <c r="B14" s="16" t="s">
        <v>43</v>
      </c>
      <c r="C14" s="17"/>
      <c r="D14" s="18" t="s">
        <v>44</v>
      </c>
      <c r="E14" s="13" t="str">
        <f aca="false">IF(C14="ON","OK — fine to enable; low cost, low risk.",IF(C14="","","MISSED — minor risk, but easy to add."))</f>
        <v/>
      </c>
    </row>
    <row r="15" customFormat="false" ht="31.5" hidden="false" customHeight="true" outlineLevel="0" collapsed="false">
      <c r="B15" s="16" t="s">
        <v>45</v>
      </c>
      <c r="C15" s="17"/>
      <c r="D15" s="18" t="s">
        <v>46</v>
      </c>
      <c r="E15" s="13" t="str">
        <f aca="false">IF(C15="ON","OK — critical for RAG. Catches hallucinated dates and amounts.",IF(C15="","","MISSED — without grounding checks, the bot may confidently invent policy details."))</f>
        <v/>
      </c>
    </row>
    <row r="18" customFormat="false" ht="15" hidden="false" customHeight="false" outlineLevel="0" collapsed="false">
      <c r="B18" s="6" t="s">
        <v>27</v>
      </c>
    </row>
    <row r="19" customFormat="false" ht="22.05" hidden="false" customHeight="false" outlineLevel="0" collapsed="false">
      <c r="B19" s="0" t="s">
        <v>28</v>
      </c>
      <c r="C19" s="14" t="n">
        <f aca="false">COUNTIF(E11:E15,"OK*")</f>
        <v>0</v>
      </c>
    </row>
  </sheetData>
  <mergeCells count="2">
    <mergeCell ref="B6:E6"/>
    <mergeCell ref="B7:E7"/>
  </mergeCells>
  <conditionalFormatting sqref="E11:E15">
    <cfRule type="expression" priority="2" aboveAverage="0" equalAverage="0" bottom="0" percent="0" rank="0" text="" dxfId="0">
      <formula>LEFT($E11,2)="OK"</formula>
    </cfRule>
    <cfRule type="expression" priority="3" aboveAverage="0" equalAverage="0" bottom="0" percent="0" rank="0" text="" dxfId="1">
      <formula>LEFT($E11,6)="MISSED"</formula>
    </cfRule>
  </conditionalFormatting>
  <dataValidations count="1">
    <dataValidation allowBlank="true" errorStyle="stop" operator="between" showDropDown="false" showErrorMessage="false" showInputMessage="false" sqref="C11:C15" type="list">
      <formula1>"ON,OFF"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3" min="3" style="0" width="64"/>
    <col collapsed="false" customWidth="true" hidden="false" outlineLevel="0" max="4" min="4" style="0" width="22"/>
    <col collapsed="false" customWidth="true" hidden="false" outlineLevel="0" max="5" min="5" style="0" width="30"/>
    <col collapsed="false" customWidth="true" hidden="false" outlineLevel="0" max="6" min="6" style="0" width="2"/>
  </cols>
  <sheetData>
    <row r="2" customFormat="false" ht="13.5" hidden="false" customHeight="true" outlineLevel="0" collapsed="false">
      <c r="B2" s="1" t="s">
        <v>47</v>
      </c>
    </row>
    <row r="3" customFormat="false" ht="27.75" hidden="false" customHeight="true" outlineLevel="0" collapsed="false">
      <c r="B3" s="2" t="s">
        <v>48</v>
      </c>
    </row>
    <row r="4" customFormat="false" ht="18" hidden="false" customHeight="true" outlineLevel="0" collapsed="false">
      <c r="B4" s="3" t="s">
        <v>49</v>
      </c>
    </row>
    <row r="6" customFormat="false" ht="15" hidden="false" customHeight="false" outlineLevel="0" collapsed="false">
      <c r="B6" s="9" t="s">
        <v>50</v>
      </c>
      <c r="C6" s="9"/>
      <c r="D6" s="9"/>
      <c r="E6" s="9"/>
    </row>
    <row r="7" customFormat="false" ht="36" hidden="false" customHeight="true" outlineLevel="0" collapsed="false">
      <c r="B7" s="10" t="s">
        <v>51</v>
      </c>
      <c r="C7" s="10"/>
      <c r="D7" s="10"/>
      <c r="E7" s="10"/>
    </row>
    <row r="10" customFormat="false" ht="15" hidden="false" customHeight="false" outlineLevel="0" collapsed="false">
      <c r="B10" s="15" t="s">
        <v>52</v>
      </c>
      <c r="C10" s="15" t="s">
        <v>53</v>
      </c>
      <c r="D10" s="15" t="s">
        <v>54</v>
      </c>
      <c r="E10" s="15" t="s">
        <v>21</v>
      </c>
    </row>
    <row r="11" customFormat="false" ht="37.5" hidden="false" customHeight="true" outlineLevel="0" collapsed="false">
      <c r="B11" s="19" t="n">
        <v>1</v>
      </c>
      <c r="C11" s="20" t="s">
        <v>55</v>
      </c>
      <c r="D11" s="17"/>
      <c r="E11" s="13" t="str">
        <f aca="false">IF(D11="Not a bug","OK — Single guardrail across surfaces is the recommended pattern — consistent safety.",IF(D11="","","Reconsider"))</f>
        <v/>
      </c>
    </row>
    <row r="12" customFormat="false" ht="37.5" hidden="false" customHeight="true" outlineLevel="0" collapsed="false">
      <c r="B12" s="19" t="n">
        <v>2</v>
      </c>
      <c r="C12" s="20" t="s">
        <v>56</v>
      </c>
      <c r="D12" s="17"/>
      <c r="E12" s="13" t="str">
        <f aca="false">IF(D12="Bug","OK — Versions exist to decouple changes from production. Edit in place → prod may see untested behavior.",IF(D12="","","Reconsider"))</f>
        <v/>
      </c>
    </row>
    <row r="13" customFormat="false" ht="37.5" hidden="false" customHeight="true" outlineLevel="0" collapsed="false">
      <c r="B13" s="19" t="n">
        <v>3</v>
      </c>
      <c r="C13" s="20" t="s">
        <v>57</v>
      </c>
      <c r="D13" s="17"/>
      <c r="E13" s="13" t="str">
        <f aca="false">IF(D13="Bug","OK — The agent can't enforce authorization. Prompt injection could trick it into reading anyone's data.",IF(D13="","","Reconsider"))</f>
        <v/>
      </c>
    </row>
    <row r="14" customFormat="false" ht="37.5" hidden="false" customHeight="true" outlineLevel="0" collapsed="false">
      <c r="B14" s="19" t="n">
        <v>4</v>
      </c>
      <c r="C14" s="20" t="s">
        <v>58</v>
      </c>
      <c r="D14" s="17"/>
      <c r="E14" s="13" t="str">
        <f aca="false">IF(D14="Bug","OK — KB ID isn't a secret per se, but hardcoding it prevents env-based promotion (dev → staging → prod).",IF(D14="","","Reconsider"))</f>
        <v/>
      </c>
    </row>
    <row r="15" customFormat="false" ht="37.5" hidden="false" customHeight="true" outlineLevel="0" collapsed="false">
      <c r="B15" s="19" t="n">
        <v>5</v>
      </c>
      <c r="C15" s="20" t="s">
        <v>59</v>
      </c>
      <c r="D15" s="17"/>
      <c r="E15" s="13" t="str">
        <f aca="false">IF(D15="Not a bug","OK — Correct — Strands IS Converse plus orchestration. Not a workaround, not a separate protocol.",IF(D15="","","Reconsider"))</f>
        <v/>
      </c>
    </row>
    <row r="16" customFormat="false" ht="37.5" hidden="false" customHeight="true" outlineLevel="0" collapsed="false">
      <c r="B16" s="19" t="n">
        <v>6</v>
      </c>
      <c r="C16" s="20" t="s">
        <v>60</v>
      </c>
      <c r="D16" s="17"/>
      <c r="E16" s="13" t="str">
        <f aca="false">IF(D16="Bug","OK — Too vague. Tool selection degrades without explicit routing hints in the system prompt.",IF(D16="","","Reconsider"))</f>
        <v/>
      </c>
    </row>
    <row r="19" customFormat="false" ht="15" hidden="false" customHeight="false" outlineLevel="0" collapsed="false">
      <c r="B19" s="6" t="s">
        <v>27</v>
      </c>
    </row>
    <row r="20" customFormat="false" ht="22.05" hidden="false" customHeight="false" outlineLevel="0" collapsed="false">
      <c r="B20" s="0" t="s">
        <v>61</v>
      </c>
      <c r="C20" s="14" t="n">
        <f aca="false">COUNTIF(E11:E16,"OK*")</f>
        <v>0</v>
      </c>
    </row>
  </sheetData>
  <mergeCells count="2">
    <mergeCell ref="B6:E6"/>
    <mergeCell ref="B7:E7"/>
  </mergeCells>
  <conditionalFormatting sqref="E11:E16">
    <cfRule type="expression" priority="2" aboveAverage="0" equalAverage="0" bottom="0" percent="0" rank="0" text="" dxfId="0">
      <formula>LEFT($E11,2)="OK"</formula>
    </cfRule>
    <cfRule type="expression" priority="3" aboveAverage="0" equalAverage="0" bottom="0" percent="0" rank="0" text="" dxfId="1">
      <formula>AND(LEFT($E11,2)&lt;&gt;"OK", $E11&lt;&gt;"")</formula>
    </cfRule>
  </conditionalFormatting>
  <dataValidations count="1">
    <dataValidation allowBlank="true" errorStyle="stop" operator="between" showDropDown="false" showErrorMessage="false" showInputMessage="false" sqref="D11:D16" type="list">
      <formula1>"Bug,Not a bug"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22"/>
    <col collapsed="false" customWidth="true" hidden="false" outlineLevel="0" max="6" min="6" style="0" width="2"/>
  </cols>
  <sheetData>
    <row r="2" customFormat="false" ht="13.5" hidden="false" customHeight="true" outlineLevel="0" collapsed="false">
      <c r="B2" s="1" t="s">
        <v>62</v>
      </c>
    </row>
    <row r="3" customFormat="false" ht="27.75" hidden="false" customHeight="true" outlineLevel="0" collapsed="false">
      <c r="B3" s="2" t="s">
        <v>63</v>
      </c>
    </row>
    <row r="4" customFormat="false" ht="18" hidden="false" customHeight="true" outlineLevel="0" collapsed="false">
      <c r="B4" s="3" t="s">
        <v>13</v>
      </c>
    </row>
    <row r="10" customFormat="false" ht="15" hidden="false" customHeight="false" outlineLevel="0" collapsed="false">
      <c r="B10" s="15" t="s">
        <v>64</v>
      </c>
      <c r="C10" s="15" t="s">
        <v>65</v>
      </c>
      <c r="D10" s="15" t="s">
        <v>66</v>
      </c>
      <c r="E10" s="15" t="s">
        <v>67</v>
      </c>
    </row>
    <row r="11" customFormat="false" ht="15" hidden="false" customHeight="false" outlineLevel="0" collapsed="false">
      <c r="B11" s="21" t="s">
        <v>6</v>
      </c>
      <c r="C11" s="22" t="n">
        <f aca="false">'1. Agent Designer'!C19</f>
        <v>0</v>
      </c>
      <c r="D11" s="23" t="n">
        <v>5</v>
      </c>
      <c r="E11" s="24" t="str">
        <f aca="false">IF(C11=D11,"Complete",IF(C11=0,"Not attempted","In progress"))</f>
        <v>Not attempted</v>
      </c>
    </row>
    <row r="12" customFormat="false" ht="15" hidden="false" customHeight="false" outlineLevel="0" collapsed="false">
      <c r="B12" s="21" t="s">
        <v>8</v>
      </c>
      <c r="C12" s="22" t="n">
        <f aca="false">'2. Guardrail Builder'!C19</f>
        <v>0</v>
      </c>
      <c r="D12" s="23" t="n">
        <v>5</v>
      </c>
      <c r="E12" s="24" t="str">
        <f aca="false">IF(C12=D12,"Complete",IF(C12=0,"Not attempted","In progress"))</f>
        <v>Not attempted</v>
      </c>
    </row>
    <row r="13" customFormat="false" ht="15" hidden="false" customHeight="false" outlineLevel="0" collapsed="false">
      <c r="B13" s="21" t="s">
        <v>10</v>
      </c>
      <c r="C13" s="22" t="n">
        <f aca="false">'3. Architecture Review'!C20</f>
        <v>0</v>
      </c>
      <c r="D13" s="23" t="n">
        <v>6</v>
      </c>
      <c r="E13" s="24" t="str">
        <f aca="false">IF(C13=D13,"Complete",IF(C13=0,"Not attempted","In progress"))</f>
        <v>Not attempted</v>
      </c>
    </row>
    <row r="15" customFormat="false" ht="17.35" hidden="false" customHeight="false" outlineLevel="0" collapsed="false">
      <c r="B15" s="25" t="s">
        <v>68</v>
      </c>
      <c r="C15" s="26" t="n">
        <f aca="false">SUM(C11:C13)</f>
        <v>0</v>
      </c>
      <c r="D15" s="26" t="n">
        <f aca="false">SUM(D11:D13)</f>
        <v>16</v>
      </c>
      <c r="E15" s="26" t="str">
        <f aca="false">ROUND(C15/D15*100,0)&amp;"%"</f>
        <v>0%</v>
      </c>
    </row>
  </sheetData>
  <conditionalFormatting sqref="E11:E13">
    <cfRule type="expression" priority="2" aboveAverage="0" equalAverage="0" bottom="0" percent="0" rank="0" text="" dxfId="0">
      <formula>$E11="Complete"</formula>
    </cfRule>
    <cfRule type="expression" priority="3" aboveAverage="0" equalAverage="0" bottom="0" percent="0" rank="0" text="" dxfId="2">
      <formula>$E11="In progress"</formula>
    </cfRule>
    <cfRule type="expression" priority="4" aboveAverage="0" equalAverage="0" bottom="0" percent="0" rank="0" text="" dxfId="1">
      <formula>$E11="Not attempted"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2026-05-14T06:07:26Z</dcterms:created>
  <dc:creator>openpyxl</dc:creator>
  <dc:description/>
  <dc:language>en-US</dc:language>
  <cp:lastModifiedBy/>
  <dcterms:modified xsi:type="dcterms:W3CDTF">2026-05-14T06:07:26Z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