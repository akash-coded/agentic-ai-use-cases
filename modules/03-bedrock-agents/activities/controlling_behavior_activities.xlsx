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Loop Control Sim" sheetId="2" state="visible" r:id="rId4"/>
    <sheet name="Inference Tuner" sheetId="3" state="visible" r:id="rId5"/>
    <sheet name="Reasoning Guard" sheetId="4" state="visible" r:id="rId6"/>
    <sheet name="Defense Designer" sheetId="5" state="visible" r:id="rId7"/>
    <sheet name="Guardrail Lab" sheetId="6" state="visible" r:id="rId8"/>
    <sheet name="Reach-For Ta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A legal terminal move when no other tool fits. With it on, the loop ends because the model SUCCEEDS at handing off.</t>
        </r>
      </text>
    </comment>
  </commentList>
</comments>
</file>

<file path=xl/sharedStrings.xml><?xml version="1.0" encoding="utf-8"?>
<sst xmlns="http://schemas.openxmlformats.org/spreadsheetml/2006/main" count="184" uniqueCount="154">
  <si>
    <t xml:space="preserve">AGENTIC AI PRACTITIONER BOOTCAMP · DAY 8 COMPANION</t>
  </si>
  <si>
    <t xml:space="preserve">Controlling Agent Behavior — Activity &amp; Tool Pack</t>
  </si>
  <si>
    <t xml:space="preserve">No typing. Blue cells are dropdowns; grey cells compute. These simulate the control knobs taught in the deck.</t>
  </si>
  <si>
    <t xml:space="preserve">you pick</t>
  </si>
  <si>
    <t xml:space="preserve">dropdown / toggle</t>
  </si>
  <si>
    <t xml:space="preserve">computed</t>
  </si>
  <si>
    <t xml:space="preserve">reacts instantly</t>
  </si>
  <si>
    <t xml:space="preserve">Sheet</t>
  </si>
  <si>
    <t xml:space="preserve">What it does</t>
  </si>
  <si>
    <t xml:space="preserve">Loop Control Sim</t>
  </si>
  <si>
    <t xml:space="preserve">Toggle max_turns, spin-detection, and a fallback tool. Watch the runaway loop get fixed.</t>
  </si>
  <si>
    <t xml:space="preserve">Inference Tuner</t>
  </si>
  <si>
    <t xml:space="preserve">Pick a task; get the right temperature. Test a setting and see if it fits.</t>
  </si>
  <si>
    <t xml:space="preserve">Reasoning Guard</t>
  </si>
  <si>
    <t xml:space="preserve">The 400-trap checker: thinking + sampling params, budget_tokens vs adaptive effort.</t>
  </si>
  <si>
    <t xml:space="preserve">Defense Designer</t>
  </si>
  <si>
    <t xml:space="preserve">Multi-select the 5 hallucination layers; get coverage, gaps, and latency cost.</t>
  </si>
  <si>
    <t xml:space="preserve">Guardrail Lab</t>
  </si>
  <si>
    <t xml:space="preserve">Set grounding/relevance thresholds; see BLOCK vs PASS and the sensitivity curve.</t>
  </si>
  <si>
    <t xml:space="preserve">Reach-For Table</t>
  </si>
  <si>
    <t xml:space="preserve">Pick the problem you hit; get the exact control to reach for.</t>
  </si>
  <si>
    <t xml:space="preserve">LOOP CONTROL  ·  THREE FIXES FOR THE RUNAWAY</t>
  </si>
  <si>
    <t xml:space="preserve">Stop the spin, turn by turn</t>
  </si>
  <si>
    <t xml:space="preserve">On an unfulfillable request, toggle the three fixes. The fallback tool is the real fix; spin-detection stops the bleeding.</t>
  </si>
  <si>
    <t xml:space="preserve">scen</t>
  </si>
  <si>
    <t xml:space="preserve">turns</t>
  </si>
  <si>
    <t xml:space="preserve">Request</t>
  </si>
  <si>
    <t xml:space="preserve">Unfulfillable</t>
  </si>
  <si>
    <t xml:space="preserve">max_turns cap</t>
  </si>
  <si>
    <t xml:space="preserve">Spin-detection</t>
  </si>
  <si>
    <t xml:space="preserve">Off</t>
  </si>
  <si>
    <t xml:space="preserve">Fallback tool (handoff_to_human)</t>
  </si>
  <si>
    <t xml:space="preserve">OUTCOME</t>
  </si>
  <si>
    <t xml:space="preserve">Fix that saved it</t>
  </si>
  <si>
    <t xml:space="preserve">Turn</t>
  </si>
  <si>
    <t xml:space="preserve">Model action</t>
  </si>
  <si>
    <t xml:space="preserve">stopReason</t>
  </si>
  <si>
    <t xml:space="preserve">Fulfill</t>
  </si>
  <si>
    <t xml:space="preserve">lookup_booking(pnr)</t>
  </si>
  <si>
    <t xml:space="preserve">get_rebooking_options(pnr)</t>
  </si>
  <si>
    <t xml:space="preserve">FINAL: 2 options</t>
  </si>
  <si>
    <t xml:space="preserve">Fallback</t>
  </si>
  <si>
    <t xml:space="preserve">handoff_to_human(reason)</t>
  </si>
  <si>
    <t xml:space="preserve">Spin</t>
  </si>
  <si>
    <t xml:space="preserve">lookup_booking(pnr)  (identical)</t>
  </si>
  <si>
    <t xml:space="preserve">Runaway</t>
  </si>
  <si>
    <t xml:space="preserve">INFERENCE  ·  SAME AGENT, DIFFERENT SUB-TASKS</t>
  </si>
  <si>
    <t xml:space="preserve">Pick the right temperature</t>
  </si>
  <si>
    <t xml:space="preserve">Choose a task to get the recommended setting, then stress-test any temperature against it.</t>
  </si>
  <si>
    <t xml:space="preserve">Task</t>
  </si>
  <si>
    <t xml:space="preserve">Extract a PNR</t>
  </si>
  <si>
    <t xml:space="preserve">Recommended temperature</t>
  </si>
  <si>
    <t xml:space="preserve">Why</t>
  </si>
  <si>
    <t xml:space="preserve">STRESS TEST</t>
  </si>
  <si>
    <t xml:space="preserve">Set temperature to</t>
  </si>
  <si>
    <t xml:space="preserve">0.7</t>
  </si>
  <si>
    <t xml:space="preserve">Suitability</t>
  </si>
  <si>
    <t xml:space="preserve">Reminder: change ONE dial, then measure. Most agent bugs are tool/prompt bugs, not sampling bugs.</t>
  </si>
  <si>
    <t xml:space="preserve">Task guide (reference)</t>
  </si>
  <si>
    <t xml:space="preserve">Deterministic — the same input must give the same PNR every time.</t>
  </si>
  <si>
    <t xml:space="preserve">Route / classify</t>
  </si>
  <si>
    <t xml:space="preserve">One correct label; randomness only adds errors.</t>
  </si>
  <si>
    <t xml:space="preserve">Draft an apology</t>
  </si>
  <si>
    <t xml:space="preserve">Some variation reads as human; still grounded in the facts.</t>
  </si>
  <si>
    <t xml:space="preserve">Brainstorm options</t>
  </si>
  <si>
    <t xml:space="preserve">Variety is the point; pair with topP ~0.9.</t>
  </si>
  <si>
    <t xml:space="preserve">REASONING MODELS  ·  THINKING ON = SAMPLING OFF</t>
  </si>
  <si>
    <t xml:space="preserve">Will this call 400? Check before you run</t>
  </si>
  <si>
    <t xml:space="preserve">Pick the model and what you set. The verdict catches the exact traps from the deck.</t>
  </si>
  <si>
    <t xml:space="preserve">Model</t>
  </si>
  <si>
    <t xml:space="preserve">Claude 3.7</t>
  </si>
  <si>
    <t xml:space="preserve">Extended thinking</t>
  </si>
  <si>
    <t xml:space="preserve">On</t>
  </si>
  <si>
    <t xml:space="preserve">Set temperature / topP / topK?</t>
  </si>
  <si>
    <t xml:space="preserve">Yes</t>
  </si>
  <si>
    <t xml:space="preserve">Set manual budget_tokens?</t>
  </si>
  <si>
    <t xml:space="preserve">No</t>
  </si>
  <si>
    <t xml:space="preserve">VERDICT</t>
  </si>
  <si>
    <t xml:space="preserve">What to do</t>
  </si>
  <si>
    <t xml:space="preserve">HALLUCINATION DEFENSE  ·  LAYERS, NOT SILVER BULLETS</t>
  </si>
  <si>
    <t xml:space="preserve">Design your defense, see the gaps</t>
  </si>
  <si>
    <t xml:space="preserve">Toggle each layer and pick the use-case risk. Coverage, gaps and latency update live.</t>
  </si>
  <si>
    <t xml:space="preserve">Prompt constraints</t>
  </si>
  <si>
    <t xml:space="preserve">Grounding (RAG / Knowledge Base)</t>
  </si>
  <si>
    <t xml:space="preserve">Contextual-grounding guardrail</t>
  </si>
  <si>
    <t xml:space="preserve">Output parser / schema check</t>
  </si>
  <si>
    <t xml:space="preserve">Verifier pass (2nd model)</t>
  </si>
  <si>
    <t xml:space="preserve">Use-case risk</t>
  </si>
  <si>
    <t xml:space="preserve">Medium</t>
  </si>
  <si>
    <t xml:space="preserve">Coverage score</t>
  </si>
  <si>
    <t xml:space="preserve">Meets the bar for this risk?</t>
  </si>
  <si>
    <t xml:space="preserve">Gaps to close</t>
  </si>
  <si>
    <t xml:space="preserve">Relative latency</t>
  </si>
  <si>
    <t xml:space="preserve">Grounding + guardrail are the heavy hitters. Prompt constraints are necessary but never sufficient alone.</t>
  </si>
  <si>
    <t xml:space="preserve">Layer</t>
  </si>
  <si>
    <t xml:space="preserve">Catches</t>
  </si>
  <si>
    <t xml:space="preserve">Cost</t>
  </si>
  <si>
    <t xml:space="preserve">Easy fabrications; tells the model to say "I don't know"</t>
  </si>
  <si>
    <t xml:space="preserve">cheap, weak alone</t>
  </si>
  <si>
    <t xml:space="preserve">Grounding (RAG / KB)</t>
  </si>
  <si>
    <t xml:space="preserve">Most factual errors — gives the model real facts to quote</t>
  </si>
  <si>
    <t xml:space="preserve">medium; biggest lever</t>
  </si>
  <si>
    <t xml:space="preserve">Answers the source does not support; blocks them</t>
  </si>
  <si>
    <t xml:space="preserve">low; safety net</t>
  </si>
  <si>
    <t xml:space="preserve">Output parser / schema</t>
  </si>
  <si>
    <t xml:space="preserve">Malformed or off-schema output (format, not truth)</t>
  </si>
  <si>
    <t xml:space="preserve">low</t>
  </si>
  <si>
    <t xml:space="preserve">Verifier pass</t>
  </si>
  <si>
    <t xml:space="preserve">What one pass missed; a 2nd model re-checks vs sources</t>
  </si>
  <si>
    <t xml:space="preserve">high latency, strongest</t>
  </si>
  <si>
    <t xml:space="preserve">CONTEXTUAL GROUNDING  ·  THRESHOLD = HOW STRICT</t>
  </si>
  <si>
    <t xml:space="preserve">BLOCK or PASS — and where the line sits</t>
  </si>
  <si>
    <t xml:space="preserve">Set the two thresholds and pick a sample answer. Verdict and sensitivity sweep update live.</t>
  </si>
  <si>
    <t xml:space="preserve">Grounding threshold</t>
  </si>
  <si>
    <t xml:space="preserve">Relevance threshold</t>
  </si>
  <si>
    <t xml:space="preserve">Sample answer</t>
  </si>
  <si>
    <t xml:space="preserve">Partially grounded</t>
  </si>
  <si>
    <t xml:space="preserve">Grounding score</t>
  </si>
  <si>
    <t xml:space="preserve">Relevance score</t>
  </si>
  <si>
    <t xml:space="preserve">Sensitivity — grounding threshold sweep (relevance fixed at your setting)</t>
  </si>
  <si>
    <t xml:space="preserve">Grounding threshold -&gt;</t>
  </si>
  <si>
    <t xml:space="preserve">Verdict at that threshold</t>
  </si>
  <si>
    <t xml:space="preserve">Grounding</t>
  </si>
  <si>
    <t xml:space="preserve">Relevance</t>
  </si>
  <si>
    <t xml:space="preserve">Fully grounded</t>
  </si>
  <si>
    <t xml:space="preserve">Invented flight</t>
  </si>
  <si>
    <t xml:space="preserve">Off-topic</t>
  </si>
  <si>
    <t xml:space="preserve">Raise grounding -&gt; fewer fabrications slip through, but more good answers get blocked. Tune on real traffic, not vibes.</t>
  </si>
  <si>
    <t xml:space="preserve">DECISION AID  ·  SYMPTOM -&gt; CONTROL</t>
  </si>
  <si>
    <t xml:space="preserve">What do I reach for?</t>
  </si>
  <si>
    <t xml:space="preserve">Pick the problem you are hitting. The control and the how-to come straight from the deck summary.</t>
  </si>
  <si>
    <t xml:space="preserve">Problem you hit</t>
  </si>
  <si>
    <t xml:space="preserve">Runaway loop</t>
  </si>
  <si>
    <t xml:space="preserve">Reach for</t>
  </si>
  <si>
    <t xml:space="preserve">Why / how</t>
  </si>
  <si>
    <t xml:space="preserve">Problem</t>
  </si>
  <si>
    <t xml:space="preserve">max_turns cap + spin-detection + a fallback tool</t>
  </si>
  <si>
    <t xml:space="preserve">The cap is a backstop; the fallback tool is the real exit. Detect identical repeated calls and break.</t>
  </si>
  <si>
    <t xml:space="preserve">Need determinism</t>
  </si>
  <si>
    <t xml:space="preserve">temperature = 0.0 (topP = 1)</t>
  </si>
  <si>
    <t xml:space="preserve">Same input, same output. Use for extraction, routing, IDs, anything that must be reproducible.</t>
  </si>
  <si>
    <t xml:space="preserve">Reasoning model</t>
  </si>
  <si>
    <t xml:space="preserve">enable extended thinking; control effort/budget; drop sampling</t>
  </si>
  <si>
    <t xml:space="preserve">Thinking on rejects temperature/topP/topK. You tune effort or budget_tokens, not randomness.</t>
  </si>
  <si>
    <t xml:space="preserve">Ungrounded answers</t>
  </si>
  <si>
    <t xml:space="preserve">grounding (RAG / KB) + contextual-grounding guardrail</t>
  </si>
  <si>
    <t xml:space="preserve">Give the model real facts to quote, then block any answer the source does not support.</t>
  </si>
  <si>
    <t xml:space="preserve">Regulated output</t>
  </si>
  <si>
    <t xml:space="preserve">all 5 defense layers + guardrail at a high threshold</t>
  </si>
  <si>
    <t xml:space="preserve">Coverage over latency. Log inputs, outputs, scores and decisions for audit.</t>
  </si>
  <si>
    <t xml:space="preserve">Verify before answering</t>
  </si>
  <si>
    <t xml:space="preserve">verifier pass (2nd model) or a strict output schema</t>
  </si>
  <si>
    <t xml:space="preserve">A second look catches what one pass misses. Costs latency; reserve for high-stakes replies.</t>
  </si>
  <si>
    <t xml:space="preserve">Rule of thumb: most agent bugs are tool or prompt bugs. Reach for sampling/guardrail knobs only after you have read the trace.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</si>
</sst>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General"/>
    <numFmt numFmtId="167" formatCode="0%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sz val="10.5"/>
      <color rgb="FF6B728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.5"/>
      <color rgb="FF1F2937"/>
      <name val="Arial"/>
      <family val="0"/>
      <charset val="1"/>
    </font>
    <font>
      <sz val="10"/>
      <name val="Arial"/>
      <family val="2"/>
    </font>
    <font>
      <i val="true"/>
      <sz val="10.5"/>
      <color rgb="FFB4530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1D6"/>
        <bgColor rgb="FFFEF3C7"/>
      </patternFill>
    </fill>
    <fill>
      <patternFill patternType="solid">
        <fgColor rgb="FFEEF2F7"/>
        <bgColor rgb="FFDCFCE7"/>
      </patternFill>
    </fill>
    <fill>
      <patternFill patternType="solid">
        <fgColor rgb="FFB45309"/>
        <bgColor rgb="FF92400E"/>
      </patternFill>
    </fill>
    <fill>
      <patternFill patternType="solid">
        <fgColor rgb="FFFBE5D2"/>
        <bgColor rgb="FFFEE2E2"/>
      </patternFill>
    </fill>
    <fill>
      <patternFill patternType="solid">
        <fgColor rgb="FF334155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EE2E2"/>
      <rgbColor rgb="FFFFF1D6"/>
      <rgbColor rgb="FF99CCFF"/>
      <rgbColor rgb="FFFF99CC"/>
      <rgbColor rgb="FFCC99FF"/>
      <rgbColor rgb="FFFBE5D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8"/>
  </cols>
  <sheetData>
    <row r="2" customFormat="false" ht="15" hidden="false" customHeight="false" outlineLevel="0" collapsed="false">
      <c r="B2" s="1" t="s">
        <v>0</v>
      </c>
    </row>
    <row r="3" customFormat="false" ht="19.7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5" t="s">
        <v>6</v>
      </c>
    </row>
    <row r="10" customFormat="false" ht="61.15" hidden="false" customHeight="false" outlineLevel="0" collapsed="false">
      <c r="A10" s="7" t="s">
        <v>7</v>
      </c>
      <c r="B10" s="7" t="s">
        <v>8</v>
      </c>
    </row>
    <row r="11" customFormat="false" ht="27.75" hidden="false" customHeight="true" outlineLevel="0" collapsed="false">
      <c r="B11" s="8" t="s">
        <v>9</v>
      </c>
      <c r="C11" s="9" t="s">
        <v>10</v>
      </c>
    </row>
    <row r="12" customFormat="false" ht="27.75" hidden="false" customHeight="true" outlineLevel="0" collapsed="false">
      <c r="B12" s="8" t="s">
        <v>11</v>
      </c>
      <c r="C12" s="9" t="s">
        <v>12</v>
      </c>
    </row>
    <row r="13" customFormat="false" ht="27.75" hidden="false" customHeight="true" outlineLevel="0" collapsed="false">
      <c r="B13" s="8" t="s">
        <v>13</v>
      </c>
      <c r="C13" s="9" t="s">
        <v>14</v>
      </c>
    </row>
    <row r="14" customFormat="false" ht="27.75" hidden="false" customHeight="true" outlineLevel="0" collapsed="false">
      <c r="B14" s="8" t="s">
        <v>15</v>
      </c>
      <c r="C14" s="9" t="s">
        <v>16</v>
      </c>
    </row>
    <row r="15" customFormat="false" ht="27.75" hidden="false" customHeight="true" outlineLevel="0" collapsed="false">
      <c r="B15" s="8" t="s">
        <v>17</v>
      </c>
      <c r="C15" s="9" t="s">
        <v>18</v>
      </c>
    </row>
    <row r="16" customFormat="false" ht="27.75" hidden="false" customHeight="true" outlineLevel="0" collapsed="false">
      <c r="B16" s="8" t="s">
        <v>19</v>
      </c>
      <c r="C16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36"/>
  </cols>
  <sheetData>
    <row r="2" customFormat="false" ht="15" hidden="false" customHeight="false" outlineLevel="0" collapsed="false">
      <c r="B2" s="1" t="s">
        <v>21</v>
      </c>
    </row>
    <row r="3" customFormat="false" ht="19.7" hidden="false" customHeight="false" outlineLevel="0" collapsed="false">
      <c r="B3" s="2" t="s">
        <v>22</v>
      </c>
    </row>
    <row r="5" customFormat="false" ht="15" hidden="false" customHeight="false" outlineLevel="0" collapsed="false">
      <c r="B5" s="3" t="s">
        <v>23</v>
      </c>
      <c r="F5" s="10" t="s">
        <v>24</v>
      </c>
      <c r="G5" s="11" t="str">
        <f aca="false">IF(C7="Fulfillable","Fulfill",IF(C10="On","Fallback",IF(C9="On","Spin","Runaway")))</f>
        <v>Runaway</v>
      </c>
    </row>
    <row r="6" customFormat="false" ht="15" hidden="false" customHeight="false" outlineLevel="0" collapsed="false">
      <c r="F6" s="10" t="s">
        <v>25</v>
      </c>
      <c r="G6" s="11" t="n">
        <f aca="false">IF(C7="Fulfillable",MIN(3,C8),IF(C10="On",2,IF(C9="On",2,C8)))</f>
        <v>8</v>
      </c>
    </row>
    <row r="7" customFormat="false" ht="15" hidden="false" customHeight="false" outlineLevel="0" collapsed="false">
      <c r="B7" s="12" t="s">
        <v>26</v>
      </c>
      <c r="C7" s="4" t="s">
        <v>27</v>
      </c>
    </row>
    <row r="8" customFormat="false" ht="15" hidden="false" customHeight="false" outlineLevel="0" collapsed="false">
      <c r="B8" s="12" t="s">
        <v>28</v>
      </c>
      <c r="C8" s="4" t="n">
        <v>8</v>
      </c>
    </row>
    <row r="9" customFormat="false" ht="15" hidden="false" customHeight="false" outlineLevel="0" collapsed="false">
      <c r="B9" s="12" t="s">
        <v>29</v>
      </c>
      <c r="C9" s="4" t="s">
        <v>30</v>
      </c>
    </row>
    <row r="10" customFormat="false" ht="15" hidden="false" customHeight="false" outlineLevel="0" collapsed="false">
      <c r="B10" s="12" t="s">
        <v>31</v>
      </c>
      <c r="C10" s="4" t="s">
        <v>30</v>
      </c>
    </row>
    <row r="12" customFormat="false" ht="15" hidden="false" customHeight="false" outlineLevel="0" collapsed="false">
      <c r="B12" s="13" t="s">
        <v>32</v>
      </c>
      <c r="C12" s="14" t="str">
        <f aca="false">IF(C7="Fulfillable","Clean exit (answered) in "&amp;G6&amp;" turns",IF(C10="On","Clean exit — handoff_to_human in "&amp;G6&amp;" turns",IF(C9="On","Stopped early by spin-detection at turn "&amp;G6,"RUNAWAY — hits the cap at turn "&amp;C8)))</f>
        <v>RUNAWAY — hits the cap at turn 8</v>
      </c>
      <c r="D12" s="14"/>
      <c r="E12" s="14"/>
      <c r="F12" s="14"/>
    </row>
    <row r="13" customFormat="false" ht="15" hidden="false" customHeight="false" outlineLevel="0" collapsed="false">
      <c r="B13" s="12" t="s">
        <v>33</v>
      </c>
      <c r="C13" s="15" t="str">
        <f aca="false">IF(C7="Fulfillable","n/a — request was fulfillable",IF(C10="On","fallback tool (the real fix)",IF(C9="On","spin-detection (stops the bleeding)","none active — runaway")))</f>
        <v>none active — runaway</v>
      </c>
      <c r="D13" s="15"/>
      <c r="E13" s="15"/>
      <c r="F13" s="15"/>
    </row>
    <row r="15" customFormat="false" ht="15" hidden="false" customHeight="false" outlineLevel="0" collapsed="false">
      <c r="B15" s="7" t="s">
        <v>34</v>
      </c>
      <c r="C15" s="7" t="s">
        <v>35</v>
      </c>
      <c r="D15" s="7" t="s">
        <v>36</v>
      </c>
      <c r="E15" s="16"/>
      <c r="F15" s="16"/>
    </row>
    <row r="16" customFormat="false" ht="15" hidden="false" customHeight="false" outlineLevel="0" collapsed="false">
      <c r="B16" s="17" t="n">
        <v>1</v>
      </c>
      <c r="C16" s="18" t="str">
        <f aca="false">IF(B16&gt;$G$6,"—",INDEX($C$41:$L$44,MATCH($G$5,$B$41:$B$44,0),B16))</f>
        <v>lookup_booking(pnr)</v>
      </c>
      <c r="D16" s="18"/>
      <c r="E16" s="17" t="str">
        <f aca="false">IF(B16&gt;$G$6,"—",IF(LEFT(C16,5)="FINAL","end_turn",IF(LEFT(C16,7)="handoff","end_turn (handoff)",IF(AND($G$5="Spin",B16=2),"SPIN DETECTED -&gt; break",IF(AND($G$5="Runaway",B16=$C$8),"CAP HIT","tool_use")))))</f>
        <v>tool_use</v>
      </c>
      <c r="F16" s="17"/>
    </row>
    <row r="17" customFormat="false" ht="15" hidden="false" customHeight="false" outlineLevel="0" collapsed="false">
      <c r="B17" s="17" t="n">
        <v>2</v>
      </c>
      <c r="C17" s="18" t="str">
        <f aca="false">IF(B17&gt;$G$6,"—",INDEX($C$41:$L$44,MATCH($G$5,$B$41:$B$44,0),B17))</f>
        <v>lookup_booking(pnr)</v>
      </c>
      <c r="D17" s="18"/>
      <c r="E17" s="17" t="str">
        <f aca="false">IF(B17&gt;$G$6,"—",IF(LEFT(C17,5)="FINAL","end_turn",IF(LEFT(C17,7)="handoff","end_turn (handoff)",IF(AND($G$5="Spin",B17=2),"SPIN DETECTED -&gt; break",IF(AND($G$5="Runaway",B17=$C$8),"CAP HIT","tool_use")))))</f>
        <v>tool_use</v>
      </c>
      <c r="F17" s="17"/>
    </row>
    <row r="18" customFormat="false" ht="15" hidden="false" customHeight="false" outlineLevel="0" collapsed="false">
      <c r="B18" s="17" t="n">
        <v>3</v>
      </c>
      <c r="C18" s="18" t="str">
        <f aca="false">IF(B18&gt;$G$6,"—",INDEX($C$41:$L$44,MATCH($G$5,$B$41:$B$44,0),B18))</f>
        <v>lookup_booking(pnr)</v>
      </c>
      <c r="D18" s="18"/>
      <c r="E18" s="17" t="str">
        <f aca="false">IF(B18&gt;$G$6,"—",IF(LEFT(C18,5)="FINAL","end_turn",IF(LEFT(C18,7)="handoff","end_turn (handoff)",IF(AND($G$5="Spin",B18=2),"SPIN DETECTED -&gt; break",IF(AND($G$5="Runaway",B18=$C$8),"CAP HIT","tool_use")))))</f>
        <v>tool_use</v>
      </c>
      <c r="F18" s="17"/>
    </row>
    <row r="19" customFormat="false" ht="15" hidden="false" customHeight="false" outlineLevel="0" collapsed="false">
      <c r="B19" s="17" t="n">
        <v>4</v>
      </c>
      <c r="C19" s="18" t="str">
        <f aca="false">IF(B19&gt;$G$6,"—",INDEX($C$41:$L$44,MATCH($G$5,$B$41:$B$44,0),B19))</f>
        <v>lookup_booking(pnr)</v>
      </c>
      <c r="D19" s="18"/>
      <c r="E19" s="17" t="str">
        <f aca="false">IF(B19&gt;$G$6,"—",IF(LEFT(C19,5)="FINAL","end_turn",IF(LEFT(C19,7)="handoff","end_turn (handoff)",IF(AND($G$5="Spin",B19=2),"SPIN DETECTED -&gt; break",IF(AND($G$5="Runaway",B19=$C$8),"CAP HIT","tool_use")))))</f>
        <v>tool_use</v>
      </c>
      <c r="F19" s="17"/>
    </row>
    <row r="20" customFormat="false" ht="15" hidden="false" customHeight="false" outlineLevel="0" collapsed="false">
      <c r="B20" s="17" t="n">
        <v>5</v>
      </c>
      <c r="C20" s="18" t="str">
        <f aca="false">IF(B20&gt;$G$6,"—",INDEX($C$41:$L$44,MATCH($G$5,$B$41:$B$44,0),B20))</f>
        <v>lookup_booking(pnr)</v>
      </c>
      <c r="D20" s="18"/>
      <c r="E20" s="17" t="str">
        <f aca="false">IF(B20&gt;$G$6,"—",IF(LEFT(C20,5)="FINAL","end_turn",IF(LEFT(C20,7)="handoff","end_turn (handoff)",IF(AND($G$5="Spin",B20=2),"SPIN DETECTED -&gt; break",IF(AND($G$5="Runaway",B20=$C$8),"CAP HIT","tool_use")))))</f>
        <v>tool_use</v>
      </c>
      <c r="F20" s="17"/>
    </row>
    <row r="21" customFormat="false" ht="15" hidden="false" customHeight="false" outlineLevel="0" collapsed="false">
      <c r="B21" s="17" t="n">
        <v>6</v>
      </c>
      <c r="C21" s="18" t="str">
        <f aca="false">IF(B21&gt;$G$6,"—",INDEX($C$41:$L$44,MATCH($G$5,$B$41:$B$44,0),B21))</f>
        <v>lookup_booking(pnr)</v>
      </c>
      <c r="D21" s="18"/>
      <c r="E21" s="17" t="str">
        <f aca="false">IF(B21&gt;$G$6,"—",IF(LEFT(C21,5)="FINAL","end_turn",IF(LEFT(C21,7)="handoff","end_turn (handoff)",IF(AND($G$5="Spin",B21=2),"SPIN DETECTED -&gt; break",IF(AND($G$5="Runaway",B21=$C$8),"CAP HIT","tool_use")))))</f>
        <v>tool_use</v>
      </c>
      <c r="F21" s="17"/>
    </row>
    <row r="22" customFormat="false" ht="15" hidden="false" customHeight="false" outlineLevel="0" collapsed="false">
      <c r="B22" s="17" t="n">
        <v>7</v>
      </c>
      <c r="C22" s="18" t="str">
        <f aca="false">IF(B22&gt;$G$6,"—",INDEX($C$41:$L$44,MATCH($G$5,$B$41:$B$44,0),B22))</f>
        <v>lookup_booking(pnr)</v>
      </c>
      <c r="D22" s="18"/>
      <c r="E22" s="17" t="str">
        <f aca="false">IF(B22&gt;$G$6,"—",IF(LEFT(C22,5)="FINAL","end_turn",IF(LEFT(C22,7)="handoff","end_turn (handoff)",IF(AND($G$5="Spin",B22=2),"SPIN DETECTED -&gt; break",IF(AND($G$5="Runaway",B22=$C$8),"CAP HIT","tool_use")))))</f>
        <v>tool_use</v>
      </c>
      <c r="F22" s="17"/>
    </row>
    <row r="23" customFormat="false" ht="15" hidden="false" customHeight="false" outlineLevel="0" collapsed="false">
      <c r="B23" s="17" t="n">
        <v>8</v>
      </c>
      <c r="C23" s="18" t="str">
        <f aca="false">IF(B23&gt;$G$6,"—",INDEX($C$41:$L$44,MATCH($G$5,$B$41:$B$44,0),B23))</f>
        <v>lookup_booking(pnr)</v>
      </c>
      <c r="D23" s="18"/>
      <c r="E23" s="17" t="str">
        <f aca="false">IF(B23&gt;$G$6,"—",IF(LEFT(C23,5)="FINAL","end_turn",IF(LEFT(C23,7)="handoff","end_turn (handoff)",IF(AND($G$5="Spin",B23=2),"SPIN DETECTED -&gt; break",IF(AND($G$5="Runaway",B23=$C$8),"CAP HIT","tool_use")))))</f>
        <v>CAP HIT</v>
      </c>
      <c r="F23" s="17"/>
    </row>
    <row r="24" customFormat="false" ht="15" hidden="false" customHeight="false" outlineLevel="0" collapsed="false">
      <c r="B24" s="17" t="n">
        <v>9</v>
      </c>
      <c r="C24" s="18" t="str">
        <f aca="false">IF(B24&gt;$G$6,"—",INDEX($C$41:$L$44,MATCH($G$5,$B$41:$B$44,0),B24))</f>
        <v>—</v>
      </c>
      <c r="D24" s="18"/>
      <c r="E24" s="17" t="str">
        <f aca="false">IF(B24&gt;$G$6,"—",IF(LEFT(C24,5)="FINAL","end_turn",IF(LEFT(C24,7)="handoff","end_turn (handoff)",IF(AND($G$5="Spin",B24=2),"SPIN DETECTED -&gt; break",IF(AND($G$5="Runaway",B24=$C$8),"CAP HIT","tool_use")))))</f>
        <v>—</v>
      </c>
      <c r="F24" s="17"/>
    </row>
    <row r="25" customFormat="false" ht="15" hidden="false" customHeight="false" outlineLevel="0" collapsed="false">
      <c r="B25" s="17" t="n">
        <v>10</v>
      </c>
      <c r="C25" s="18" t="str">
        <f aca="false">IF(B25&gt;$G$6,"—",INDEX($C$41:$L$44,MATCH($G$5,$B$41:$B$44,0),B25))</f>
        <v>—</v>
      </c>
      <c r="D25" s="18"/>
      <c r="E25" s="17" t="str">
        <f aca="false">IF(B25&gt;$G$6,"—",IF(LEFT(C25,5)="FINAL","end_turn",IF(LEFT(C25,7)="handoff","end_turn (handoff)",IF(AND($G$5="Spin",B25=2),"SPIN DETECTED -&gt; break",IF(AND($G$5="Runaway",B25=$C$8),"CAP HIT","tool_use")))))</f>
        <v>—</v>
      </c>
      <c r="F25" s="17"/>
    </row>
    <row r="40" customFormat="false" ht="15" hidden="true" customHeight="false" outlineLevel="0" collapsed="false"/>
    <row r="41" customFormat="false" ht="15" hidden="true" customHeight="false" outlineLevel="0" collapsed="false">
      <c r="B41" s="0" t="s">
        <v>37</v>
      </c>
      <c r="C41" s="0" t="s">
        <v>38</v>
      </c>
      <c r="D41" s="0" t="s">
        <v>39</v>
      </c>
      <c r="E41" s="0" t="s">
        <v>40</v>
      </c>
    </row>
    <row r="42" customFormat="false" ht="15" hidden="true" customHeight="false" outlineLevel="0" collapsed="false">
      <c r="B42" s="0" t="s">
        <v>41</v>
      </c>
      <c r="C42" s="0" t="s">
        <v>38</v>
      </c>
      <c r="D42" s="0" t="s">
        <v>42</v>
      </c>
    </row>
    <row r="43" customFormat="false" ht="15" hidden="true" customHeight="false" outlineLevel="0" collapsed="false">
      <c r="B43" s="0" t="s">
        <v>43</v>
      </c>
      <c r="C43" s="0" t="s">
        <v>38</v>
      </c>
      <c r="D43" s="0" t="s">
        <v>44</v>
      </c>
    </row>
    <row r="44" customFormat="false" ht="15" hidden="true" customHeight="false" outlineLevel="0" collapsed="false">
      <c r="B44" s="0" t="s">
        <v>45</v>
      </c>
      <c r="C44" s="0" t="s">
        <v>38</v>
      </c>
      <c r="D44" s="0" t="s">
        <v>38</v>
      </c>
      <c r="E44" s="0" t="s">
        <v>38</v>
      </c>
      <c r="F44" s="0" t="s">
        <v>38</v>
      </c>
      <c r="G44" s="0" t="s">
        <v>38</v>
      </c>
      <c r="H44" s="0" t="s">
        <v>38</v>
      </c>
      <c r="I44" s="0" t="s">
        <v>38</v>
      </c>
      <c r="J44" s="0" t="s">
        <v>38</v>
      </c>
      <c r="K44" s="0" t="s">
        <v>38</v>
      </c>
      <c r="L44" s="0" t="s">
        <v>38</v>
      </c>
    </row>
  </sheetData>
  <mergeCells count="23">
    <mergeCell ref="C12:F12"/>
    <mergeCell ref="C13:F13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</mergeCells>
  <conditionalFormatting sqref="C12:F12">
    <cfRule type="expression" priority="2" aboveAverage="0" equalAverage="0" bottom="0" percent="0" rank="0" text="" dxfId="0">
      <formula>ISNUMBER(SEARCH("RUNAWAY",C12))</formula>
    </cfRule>
    <cfRule type="expression" priority="3" aboveAverage="0" equalAverage="0" bottom="0" percent="0" rank="0" text="" dxfId="1">
      <formula>ISNUMBER(SEARCH("Clean exit",C12))</formula>
    </cfRule>
    <cfRule type="expression" priority="4" aboveAverage="0" equalAverage="0" bottom="0" percent="0" rank="0" text="" dxfId="2">
      <formula>ISNUMBER(SEARCH("spin-detection",C12))</formula>
    </cfRule>
  </conditionalFormatting>
  <conditionalFormatting sqref="E16:F16">
    <cfRule type="expression" priority="5" aboveAverage="0" equalAverage="0" bottom="0" percent="0" rank="0" text="" dxfId="0">
      <formula>ISNUMBER(SEARCH("CAP HIT",E16))</formula>
    </cfRule>
    <cfRule type="expression" priority="6" aboveAverage="0" equalAverage="0" bottom="0" percent="0" rank="0" text="" dxfId="1">
      <formula>ISNUMBER(SEARCH("end_turn",E16))</formula>
    </cfRule>
    <cfRule type="expression" priority="7" aboveAverage="0" equalAverage="0" bottom="0" percent="0" rank="0" text="" dxfId="2">
      <formula>ISNUMBER(SEARCH("SPIN",E16))</formula>
    </cfRule>
  </conditionalFormatting>
  <conditionalFormatting sqref="E17:F17">
    <cfRule type="expression" priority="8" aboveAverage="0" equalAverage="0" bottom="0" percent="0" rank="0" text="" dxfId="0">
      <formula>ISNUMBER(SEARCH("CAP HIT",E17))</formula>
    </cfRule>
    <cfRule type="expression" priority="9" aboveAverage="0" equalAverage="0" bottom="0" percent="0" rank="0" text="" dxfId="1">
      <formula>ISNUMBER(SEARCH("end_turn",E17))</formula>
    </cfRule>
    <cfRule type="expression" priority="10" aboveAverage="0" equalAverage="0" bottom="0" percent="0" rank="0" text="" dxfId="2">
      <formula>ISNUMBER(SEARCH("SPIN",E17))</formula>
    </cfRule>
  </conditionalFormatting>
  <conditionalFormatting sqref="E18:F18">
    <cfRule type="expression" priority="11" aboveAverage="0" equalAverage="0" bottom="0" percent="0" rank="0" text="" dxfId="0">
      <formula>ISNUMBER(SEARCH("CAP HIT",E18))</formula>
    </cfRule>
    <cfRule type="expression" priority="12" aboveAverage="0" equalAverage="0" bottom="0" percent="0" rank="0" text="" dxfId="1">
      <formula>ISNUMBER(SEARCH("end_turn",E18))</formula>
    </cfRule>
    <cfRule type="expression" priority="13" aboveAverage="0" equalAverage="0" bottom="0" percent="0" rank="0" text="" dxfId="2">
      <formula>ISNUMBER(SEARCH("SPIN",E18))</formula>
    </cfRule>
  </conditionalFormatting>
  <conditionalFormatting sqref="E19:F19">
    <cfRule type="expression" priority="14" aboveAverage="0" equalAverage="0" bottom="0" percent="0" rank="0" text="" dxfId="0">
      <formula>ISNUMBER(SEARCH("CAP HIT",E19))</formula>
    </cfRule>
    <cfRule type="expression" priority="15" aboveAverage="0" equalAverage="0" bottom="0" percent="0" rank="0" text="" dxfId="1">
      <formula>ISNUMBER(SEARCH("end_turn",E19))</formula>
    </cfRule>
    <cfRule type="expression" priority="16" aboveAverage="0" equalAverage="0" bottom="0" percent="0" rank="0" text="" dxfId="2">
      <formula>ISNUMBER(SEARCH("SPIN",E19))</formula>
    </cfRule>
  </conditionalFormatting>
  <conditionalFormatting sqref="E20:F20">
    <cfRule type="expression" priority="17" aboveAverage="0" equalAverage="0" bottom="0" percent="0" rank="0" text="" dxfId="0">
      <formula>ISNUMBER(SEARCH("CAP HIT",E20))</formula>
    </cfRule>
    <cfRule type="expression" priority="18" aboveAverage="0" equalAverage="0" bottom="0" percent="0" rank="0" text="" dxfId="1">
      <formula>ISNUMBER(SEARCH("end_turn",E20))</formula>
    </cfRule>
    <cfRule type="expression" priority="19" aboveAverage="0" equalAverage="0" bottom="0" percent="0" rank="0" text="" dxfId="2">
      <formula>ISNUMBER(SEARCH("SPIN",E20))</formula>
    </cfRule>
  </conditionalFormatting>
  <conditionalFormatting sqref="E21:F21">
    <cfRule type="expression" priority="20" aboveAverage="0" equalAverage="0" bottom="0" percent="0" rank="0" text="" dxfId="0">
      <formula>ISNUMBER(SEARCH("CAP HIT",E21))</formula>
    </cfRule>
    <cfRule type="expression" priority="21" aboveAverage="0" equalAverage="0" bottom="0" percent="0" rank="0" text="" dxfId="1">
      <formula>ISNUMBER(SEARCH("end_turn",E21))</formula>
    </cfRule>
    <cfRule type="expression" priority="22" aboveAverage="0" equalAverage="0" bottom="0" percent="0" rank="0" text="" dxfId="2">
      <formula>ISNUMBER(SEARCH("SPIN",E21))</formula>
    </cfRule>
  </conditionalFormatting>
  <conditionalFormatting sqref="E22:F22">
    <cfRule type="expression" priority="23" aboveAverage="0" equalAverage="0" bottom="0" percent="0" rank="0" text="" dxfId="0">
      <formula>ISNUMBER(SEARCH("CAP HIT",E22))</formula>
    </cfRule>
    <cfRule type="expression" priority="24" aboveAverage="0" equalAverage="0" bottom="0" percent="0" rank="0" text="" dxfId="1">
      <formula>ISNUMBER(SEARCH("end_turn",E22))</formula>
    </cfRule>
    <cfRule type="expression" priority="25" aboveAverage="0" equalAverage="0" bottom="0" percent="0" rank="0" text="" dxfId="2">
      <formula>ISNUMBER(SEARCH("SPIN",E22))</formula>
    </cfRule>
  </conditionalFormatting>
  <conditionalFormatting sqref="E23:F23">
    <cfRule type="expression" priority="26" aboveAverage="0" equalAverage="0" bottom="0" percent="0" rank="0" text="" dxfId="0">
      <formula>ISNUMBER(SEARCH("CAP HIT",E23))</formula>
    </cfRule>
    <cfRule type="expression" priority="27" aboveAverage="0" equalAverage="0" bottom="0" percent="0" rank="0" text="" dxfId="1">
      <formula>ISNUMBER(SEARCH("end_turn",E23))</formula>
    </cfRule>
    <cfRule type="expression" priority="28" aboveAverage="0" equalAverage="0" bottom="0" percent="0" rank="0" text="" dxfId="2">
      <formula>ISNUMBER(SEARCH("SPIN",E23))</formula>
    </cfRule>
  </conditionalFormatting>
  <conditionalFormatting sqref="E24:F24">
    <cfRule type="expression" priority="29" aboveAverage="0" equalAverage="0" bottom="0" percent="0" rank="0" text="" dxfId="0">
      <formula>ISNUMBER(SEARCH("CAP HIT",E24))</formula>
    </cfRule>
    <cfRule type="expression" priority="30" aboveAverage="0" equalAverage="0" bottom="0" percent="0" rank="0" text="" dxfId="1">
      <formula>ISNUMBER(SEARCH("end_turn",E24))</formula>
    </cfRule>
    <cfRule type="expression" priority="31" aboveAverage="0" equalAverage="0" bottom="0" percent="0" rank="0" text="" dxfId="2">
      <formula>ISNUMBER(SEARCH("SPIN",E24))</formula>
    </cfRule>
  </conditionalFormatting>
  <conditionalFormatting sqref="E25:F25">
    <cfRule type="expression" priority="32" aboveAverage="0" equalAverage="0" bottom="0" percent="0" rank="0" text="" dxfId="0">
      <formula>ISNUMBER(SEARCH("CAP HIT",E25))</formula>
    </cfRule>
    <cfRule type="expression" priority="33" aboveAverage="0" equalAverage="0" bottom="0" percent="0" rank="0" text="" dxfId="1">
      <formula>ISNUMBER(SEARCH("end_turn",E25))</formula>
    </cfRule>
    <cfRule type="expression" priority="34" aboveAverage="0" equalAverage="0" bottom="0" percent="0" rank="0" text="" dxfId="2">
      <formula>ISNUMBER(SEARCH("SPIN",E25))</formula>
    </cfRule>
  </conditionalFormatting>
  <dataValidations count="4">
    <dataValidation allowBlank="false" errorStyle="stop" operator="between" showDropDown="false" showErrorMessage="false" showInputMessage="false" sqref="C7" type="list">
      <formula1>"Fulfillable,Unfulfillable"</formula1>
      <formula2>0</formula2>
    </dataValidation>
    <dataValidation allowBlank="false" errorStyle="stop" operator="between" showDropDown="false" showErrorMessage="false" showInputMessage="false" sqref="C8" type="list">
      <formula1>"3,5,8,10"</formula1>
      <formula2>0</formula2>
    </dataValidation>
    <dataValidation allowBlank="false" errorStyle="stop" operator="between" showDropDown="false" showErrorMessage="false" showInputMessage="false" sqref="C9" type="list">
      <formula1>"On,Off"</formula1>
      <formula2>0</formula2>
    </dataValidation>
    <dataValidation allowBlank="false" errorStyle="stop" operator="between" showDropDown="false" showErrorMessage="false" showInputMessage="false" sqref="C10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52"/>
  </cols>
  <sheetData>
    <row r="2" customFormat="false" ht="15" hidden="false" customHeight="false" outlineLevel="0" collapsed="false">
      <c r="B2" s="1" t="s">
        <v>46</v>
      </c>
    </row>
    <row r="3" customFormat="false" ht="19.7" hidden="false" customHeight="false" outlineLevel="0" collapsed="false">
      <c r="B3" s="2" t="s">
        <v>47</v>
      </c>
    </row>
    <row r="5" customFormat="false" ht="15" hidden="false" customHeight="false" outlineLevel="0" collapsed="false">
      <c r="B5" s="3" t="s">
        <v>48</v>
      </c>
    </row>
    <row r="7" customFormat="false" ht="15" hidden="false" customHeight="false" outlineLevel="0" collapsed="false">
      <c r="B7" s="12" t="s">
        <v>49</v>
      </c>
      <c r="C7" s="4" t="s">
        <v>50</v>
      </c>
    </row>
    <row r="9" customFormat="false" ht="15" hidden="false" customHeight="false" outlineLevel="0" collapsed="false">
      <c r="B9" s="12" t="s">
        <v>51</v>
      </c>
      <c r="C9" s="6" t="n">
        <f aca="false">VLOOKUP(C7,$B$20:$D$23,2,FALSE())</f>
        <v>0</v>
      </c>
    </row>
    <row r="10" customFormat="false" ht="15" hidden="false" customHeight="false" outlineLevel="0" collapsed="false">
      <c r="B10" s="12" t="s">
        <v>52</v>
      </c>
      <c r="C10" s="19" t="str">
        <f aca="false">VLOOKUP(C7,$B$20:$D$23,3,FALSE())</f>
        <v>Deterministic — the same input must give the same PNR every time.</v>
      </c>
      <c r="D10" s="19"/>
    </row>
    <row r="11" customFormat="false" ht="15" hidden="false" customHeight="false" outlineLevel="0" collapsed="false">
      <c r="C11" s="19"/>
      <c r="D11" s="19"/>
    </row>
    <row r="13" customFormat="false" ht="15" hidden="false" customHeight="false" outlineLevel="0" collapsed="false">
      <c r="B13" s="20" t="s">
        <v>53</v>
      </c>
    </row>
    <row r="14" customFormat="false" ht="15" hidden="false" customHeight="false" outlineLevel="0" collapsed="false">
      <c r="B14" s="12" t="s">
        <v>54</v>
      </c>
      <c r="C14" s="4" t="s">
        <v>55</v>
      </c>
    </row>
    <row r="15" customFormat="false" ht="15" hidden="false" customHeight="false" outlineLevel="0" collapsed="false">
      <c r="B15" s="12" t="s">
        <v>56</v>
      </c>
      <c r="C15" s="21" t="str">
        <f aca="false">IF(AND(OR(C7="Extract a PNR",C7="Route / classify"),VALUE(C14)&gt;0),"Risky — nondeterministic; use 0.0 for extraction/routing",IF(AND(OR(C7="Draft an apology",C7="Brainstorm options"),VALUE(C14)=0),"Too rigid — will sound robotic; try 0.5-0.8","Good fit"))</f>
        <v>Risky — nondeterministic; use 0.0 for extraction/routing</v>
      </c>
      <c r="D15" s="21"/>
    </row>
    <row r="17" customFormat="false" ht="15" hidden="false" customHeight="false" outlineLevel="0" collapsed="false">
      <c r="B17" s="22" t="s">
        <v>57</v>
      </c>
      <c r="C17" s="22"/>
      <c r="D17" s="22"/>
    </row>
    <row r="19" customFormat="false" ht="15" hidden="false" customHeight="false" outlineLevel="0" collapsed="false">
      <c r="B19" s="12" t="s">
        <v>58</v>
      </c>
    </row>
    <row r="20" customFormat="false" ht="25.5" hidden="false" customHeight="true" outlineLevel="0" collapsed="false">
      <c r="B20" s="8" t="s">
        <v>50</v>
      </c>
      <c r="C20" s="23" t="n">
        <v>0</v>
      </c>
      <c r="D20" s="9" t="s">
        <v>59</v>
      </c>
    </row>
    <row r="21" customFormat="false" ht="25.5" hidden="false" customHeight="true" outlineLevel="0" collapsed="false">
      <c r="B21" s="8" t="s">
        <v>60</v>
      </c>
      <c r="C21" s="23" t="n">
        <v>0</v>
      </c>
      <c r="D21" s="9" t="s">
        <v>61</v>
      </c>
    </row>
    <row r="22" customFormat="false" ht="25.5" hidden="false" customHeight="true" outlineLevel="0" collapsed="false">
      <c r="B22" s="8" t="s">
        <v>62</v>
      </c>
      <c r="C22" s="23" t="n">
        <v>0.6</v>
      </c>
      <c r="D22" s="9" t="s">
        <v>63</v>
      </c>
    </row>
    <row r="23" customFormat="false" ht="25.5" hidden="false" customHeight="true" outlineLevel="0" collapsed="false">
      <c r="B23" s="8" t="s">
        <v>64</v>
      </c>
      <c r="C23" s="23" t="n">
        <v>0.8</v>
      </c>
      <c r="D23" s="9" t="s">
        <v>65</v>
      </c>
    </row>
  </sheetData>
  <mergeCells count="3">
    <mergeCell ref="C10:D11"/>
    <mergeCell ref="C15:D15"/>
    <mergeCell ref="B17:D17"/>
  </mergeCells>
  <conditionalFormatting sqref="C15:D15">
    <cfRule type="expression" priority="2" aboveAverage="0" equalAverage="0" bottom="0" percent="0" rank="0" text="" dxfId="0">
      <formula>ISNUMBER(SEARCH("Risky",C15))</formula>
    </cfRule>
    <cfRule type="expression" priority="3" aboveAverage="0" equalAverage="0" bottom="0" percent="0" rank="0" text="" dxfId="2">
      <formula>ISNUMBER(SEARCH("Too rigid",C15))</formula>
    </cfRule>
    <cfRule type="expression" priority="4" aboveAverage="0" equalAverage="0" bottom="0" percent="0" rank="0" text="" dxfId="1">
      <formula>ISNUMBER(SEARCH("Good fit",C15))</formula>
    </cfRule>
  </conditionalFormatting>
  <dataValidations count="2">
    <dataValidation allowBlank="false" errorStyle="stop" operator="between" showDropDown="false" showErrorMessage="false" showInputMessage="false" sqref="C7" type="list">
      <formula1>"Extract a PNR,Route / classify,Draft an apology,Brainstorm options"</formula1>
      <formula2>0</formula2>
    </dataValidation>
    <dataValidation allowBlank="false" errorStyle="stop" operator="between" showDropDown="false" showErrorMessage="false" showInputMessage="false" sqref="C14" type="list">
      <formula1>"0.0,0.3,0.7,1.0"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54"/>
  </cols>
  <sheetData>
    <row r="2" customFormat="false" ht="15" hidden="false" customHeight="false" outlineLevel="0" collapsed="false">
      <c r="B2" s="1" t="s">
        <v>66</v>
      </c>
    </row>
    <row r="3" customFormat="false" ht="19.7" hidden="false" customHeight="false" outlineLevel="0" collapsed="false">
      <c r="B3" s="2" t="s">
        <v>67</v>
      </c>
    </row>
    <row r="5" customFormat="false" ht="15" hidden="false" customHeight="false" outlineLevel="0" collapsed="false">
      <c r="B5" s="3" t="s">
        <v>68</v>
      </c>
    </row>
    <row r="7" customFormat="false" ht="15" hidden="false" customHeight="false" outlineLevel="0" collapsed="false">
      <c r="B7" s="12" t="s">
        <v>69</v>
      </c>
      <c r="C7" s="4" t="s">
        <v>70</v>
      </c>
    </row>
    <row r="8" customFormat="false" ht="15" hidden="false" customHeight="false" outlineLevel="0" collapsed="false">
      <c r="B8" s="12" t="s">
        <v>71</v>
      </c>
      <c r="C8" s="4" t="s">
        <v>72</v>
      </c>
    </row>
    <row r="9" customFormat="false" ht="15" hidden="false" customHeight="false" outlineLevel="0" collapsed="false">
      <c r="B9" s="12" t="s">
        <v>73</v>
      </c>
      <c r="C9" s="4" t="s">
        <v>74</v>
      </c>
    </row>
    <row r="10" customFormat="false" ht="15" hidden="false" customHeight="false" outlineLevel="0" collapsed="false">
      <c r="B10" s="12" t="s">
        <v>75</v>
      </c>
      <c r="C10" s="4" t="s">
        <v>76</v>
      </c>
    </row>
    <row r="12" customFormat="false" ht="15" hidden="false" customHeight="false" outlineLevel="0" collapsed="false">
      <c r="B12" s="13" t="s">
        <v>77</v>
      </c>
      <c r="C12" s="14" t="str">
        <f aca="false">IF(AND(C8="On",OR(C7="Nova",C7="Claude 3.5")),"ERROR — this model has no extended-thinking mode",IF(AND(C8="On",C9="Yes"),"400 — temperature/topP/topK are not allowed with thinking on",IF(AND(C8="On",C10="Yes",C7="Claude Opus 4.7/4.8"),"ERROR — budget_tokens rejected on Opus 4.7/4.8",IF(AND(C8="Off",C10="Yes"),"IGNORED — budget_tokens does nothing when thinking is Off","VALID — this call is fine"))))</f>
        <v>400 — temperature/topP/topK are not allowed with thinking on</v>
      </c>
      <c r="D12" s="14"/>
    </row>
    <row r="13" customFormat="false" ht="15" hidden="false" customHeight="false" outlineLevel="0" collapsed="false">
      <c r="B13" s="12" t="s">
        <v>78</v>
      </c>
      <c r="C13" s="19" t="str">
        <f aca="false">IF(AND(C8="On",OR(C7="Nova",C7="Claude 3.5")),"Use Claude 3.7 / 4.x / Opus for extended thinking, or turn thinking Off.",IF(AND(C8="On",C9="Yes"),"Drop temperature/topP/topK. On thinking models you control effort or budget, not sampling.",IF(AND(C8="On",C10="Yes",C7="Claude Opus 4.7/4.8"),"On Opus 4.7/4.8 use adaptive thinking + output_config effort (low|medium|high).",IF(AND(C8="Off",C10="Yes"),"Remove budget_tokens, or turn thinking On to use it.","Good to call."))))</f>
        <v>Drop temperature/topP/topK. On thinking models you control effort or budget, not sampling.</v>
      </c>
      <c r="D13" s="19"/>
    </row>
    <row r="14" customFormat="false" ht="15" hidden="false" customHeight="false" outlineLevel="0" collapsed="false">
      <c r="C14" s="19"/>
      <c r="D14" s="19"/>
    </row>
    <row r="15" customFormat="false" ht="15" hidden="false" customHeight="false" outlineLevel="0" collapsed="false">
      <c r="C15" s="19"/>
      <c r="D15" s="19"/>
    </row>
  </sheetData>
  <mergeCells count="2">
    <mergeCell ref="C12:D12"/>
    <mergeCell ref="C13:D15"/>
  </mergeCells>
  <conditionalFormatting sqref="C12:D12">
    <cfRule type="expression" priority="2" aboveAverage="0" equalAverage="0" bottom="0" percent="0" rank="0" text="" dxfId="1">
      <formula>ISNUMBER(SEARCH("VALID",C12))</formula>
    </cfRule>
    <cfRule type="expression" priority="3" aboveAverage="0" equalAverage="0" bottom="0" percent="0" rank="0" text="" dxfId="0">
      <formula>ISNUMBER(SEARCH("400",C12))</formula>
    </cfRule>
    <cfRule type="expression" priority="4" aboveAverage="0" equalAverage="0" bottom="0" percent="0" rank="0" text="" dxfId="0">
      <formula>ISNUMBER(SEARCH("ERROR",C12))</formula>
    </cfRule>
    <cfRule type="expression" priority="5" aboveAverage="0" equalAverage="0" bottom="0" percent="0" rank="0" text="" dxfId="2">
      <formula>ISNUMBER(SEARCH("IGNORED",C12))</formula>
    </cfRule>
  </conditionalFormatting>
  <dataValidations count="4">
    <dataValidation allowBlank="false" errorStyle="stop" operator="between" showDropDown="false" showErrorMessage="false" showInputMessage="false" sqref="C7" type="list">
      <formula1>"Nova,Claude 3.5,Claude 3.7,Claude 4.x,Claude Opus 4.7/4.8"</formula1>
      <formula2>0</formula2>
    </dataValidation>
    <dataValidation allowBlank="false" errorStyle="stop" operator="between" showDropDown="false" showErrorMessage="false" showInputMessage="false" sqref="C8" type="list">
      <formula1>"On,Off"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true" outlineLevel="0" max="11" min="7" style="0" width="13"/>
  </cols>
  <sheetData>
    <row r="2" customFormat="false" ht="15" hidden="false" customHeight="false" outlineLevel="0" collapsed="false">
      <c r="B2" s="1" t="s">
        <v>79</v>
      </c>
    </row>
    <row r="3" customFormat="false" ht="19.7" hidden="false" customHeight="false" outlineLevel="0" collapsed="false">
      <c r="B3" s="2" t="s">
        <v>80</v>
      </c>
    </row>
    <row r="5" customFormat="false" ht="15" hidden="false" customHeight="false" outlineLevel="0" collapsed="false">
      <c r="B5" s="3" t="s">
        <v>81</v>
      </c>
    </row>
    <row r="7" customFormat="false" ht="15" hidden="false" customHeight="false" outlineLevel="0" collapsed="false">
      <c r="B7" s="12" t="s">
        <v>82</v>
      </c>
      <c r="C7" s="4" t="s">
        <v>74</v>
      </c>
      <c r="G7" s="24" t="n">
        <f aca="false">IF(C7="Yes",1,0)</f>
        <v>1</v>
      </c>
      <c r="H7" s="0" t="n">
        <v>1</v>
      </c>
      <c r="I7" s="0" t="str">
        <f aca="false">IF(C7&lt;&gt;"Yes","prompt constraints","")</f>
        <v/>
      </c>
      <c r="K7" s="0" t="str">
        <f aca="false">_xlfn.TEXTJOIN(", ",TRUE(),I7:I11)</f>
        <v>grounding guardrail</v>
      </c>
    </row>
    <row r="8" customFormat="false" ht="15" hidden="false" customHeight="false" outlineLevel="0" collapsed="false">
      <c r="B8" s="12" t="s">
        <v>83</v>
      </c>
      <c r="C8" s="4" t="s">
        <v>74</v>
      </c>
      <c r="G8" s="24" t="n">
        <f aca="false">IF(C8="Yes",1,0)</f>
        <v>1</v>
      </c>
      <c r="H8" s="0" t="n">
        <v>3</v>
      </c>
      <c r="I8" s="0" t="str">
        <f aca="false">IF(C8&lt;&gt;"Yes","grounding (RAG)","")</f>
        <v/>
      </c>
    </row>
    <row r="9" customFormat="false" ht="15" hidden="false" customHeight="false" outlineLevel="0" collapsed="false">
      <c r="B9" s="12" t="s">
        <v>84</v>
      </c>
      <c r="C9" s="4" t="s">
        <v>76</v>
      </c>
      <c r="G9" s="24" t="n">
        <f aca="false">IF(C9="Yes",1,0)</f>
        <v>0</v>
      </c>
      <c r="H9" s="0" t="n">
        <v>3</v>
      </c>
      <c r="I9" s="0" t="str">
        <f aca="false">IF(AND(OR(C13="Medium",C13="High",C13="Regulated"),C9&lt;&gt;"Yes"),"grounding guardrail","")</f>
        <v>grounding guardrail</v>
      </c>
    </row>
    <row r="10" customFormat="false" ht="15" hidden="false" customHeight="false" outlineLevel="0" collapsed="false">
      <c r="B10" s="12" t="s">
        <v>85</v>
      </c>
      <c r="C10" s="4" t="s">
        <v>76</v>
      </c>
      <c r="G10" s="24" t="n">
        <f aca="false">IF(C10="Yes",1,0)</f>
        <v>0</v>
      </c>
      <c r="H10" s="0" t="n">
        <v>1</v>
      </c>
      <c r="I10" s="0" t="str">
        <f aca="false">IF(AND(C13="Regulated",C10&lt;&gt;"Yes"),"output parser","")</f>
        <v/>
      </c>
    </row>
    <row r="11" customFormat="false" ht="15" hidden="false" customHeight="false" outlineLevel="0" collapsed="false">
      <c r="B11" s="12" t="s">
        <v>86</v>
      </c>
      <c r="C11" s="4" t="s">
        <v>76</v>
      </c>
      <c r="G11" s="24" t="n">
        <f aca="false">IF(C11="Yes",1,0)</f>
        <v>0</v>
      </c>
      <c r="H11" s="0" t="n">
        <v>2</v>
      </c>
      <c r="I11" s="0" t="str">
        <f aca="false">IF(AND(OR(C13="High",C13="Regulated"),C11&lt;&gt;"Yes"),"verifier pass","")</f>
        <v/>
      </c>
    </row>
    <row r="13" customFormat="false" ht="15" hidden="false" customHeight="false" outlineLevel="0" collapsed="false">
      <c r="B13" s="12" t="s">
        <v>87</v>
      </c>
      <c r="C13" s="4" t="s">
        <v>88</v>
      </c>
    </row>
    <row r="15" customFormat="false" ht="15" hidden="false" customHeight="false" outlineLevel="0" collapsed="false">
      <c r="B15" s="12" t="s">
        <v>89</v>
      </c>
      <c r="C15" s="25" t="n">
        <f aca="false">SUMPRODUCT(G7:G11,H7:H11)/SUM(H7:H11)</f>
        <v>0.4</v>
      </c>
    </row>
    <row r="16" customFormat="false" ht="15" hidden="false" customHeight="false" outlineLevel="0" collapsed="false">
      <c r="B16" s="12" t="s">
        <v>90</v>
      </c>
      <c r="C16" s="21" t="str">
        <f aca="false">IF(C13="Low",IF(AND(C7="Yes",C8="Yes"),"Yes — meets the Low bar","No — missing a required layer"),IF(C13="Medium",IF(AND(C7="Yes",C8="Yes",C9="Yes"),"Yes — meets the Medium bar","No — missing a required layer"),IF(C13="High",IF(AND(C7="Yes",C8="Yes",C9="Yes",C11="Yes"),"Yes — meets the High bar","No — missing a required layer"),IF(AND(C7="Yes",C8="Yes",C9="Yes",C10="Yes",C11="Yes"),"Yes — meets the Regulated bar","No — missing a required layer"))))</f>
        <v>No — missing a required layer</v>
      </c>
      <c r="D16" s="21"/>
    </row>
    <row r="17" customFormat="false" ht="15" hidden="false" customHeight="false" outlineLevel="0" collapsed="false">
      <c r="B17" s="12" t="s">
        <v>91</v>
      </c>
      <c r="C17" s="26" t="str">
        <f aca="false">IF(K7="","none — you meet the bar for "&amp;C13,"add: "&amp;K7)</f>
        <v>add: grounding guardrail</v>
      </c>
      <c r="D17" s="26"/>
    </row>
    <row r="18" customFormat="false" ht="15" hidden="false" customHeight="false" outlineLevel="0" collapsed="false">
      <c r="B18" s="12" t="s">
        <v>92</v>
      </c>
      <c r="C18" s="26" t="str">
        <f aca="false">"≈ "&amp;TEXT(1+IF(C9="Yes",0.5,0)+IF(C10="Yes",1,0)+IF(C11="Yes",1,0),"0.0")&amp;"× a bare call"</f>
        <v>≈ 1.0× a bare call</v>
      </c>
      <c r="D18" s="26"/>
    </row>
    <row r="20" customFormat="false" ht="15" hidden="false" customHeight="false" outlineLevel="0" collapsed="false">
      <c r="B20" s="22" t="s">
        <v>93</v>
      </c>
      <c r="C20" s="22"/>
      <c r="D20" s="22"/>
    </row>
    <row r="22" customFormat="false" ht="15" hidden="false" customHeight="false" outlineLevel="0" collapsed="false">
      <c r="B22" s="7" t="s">
        <v>94</v>
      </c>
      <c r="C22" s="7" t="s">
        <v>95</v>
      </c>
      <c r="D22" s="7" t="s">
        <v>96</v>
      </c>
    </row>
    <row r="23" customFormat="false" ht="30" hidden="false" customHeight="true" outlineLevel="0" collapsed="false">
      <c r="B23" s="8" t="s">
        <v>82</v>
      </c>
      <c r="C23" s="9" t="s">
        <v>97</v>
      </c>
      <c r="D23" s="9" t="s">
        <v>98</v>
      </c>
    </row>
    <row r="24" customFormat="false" ht="30" hidden="false" customHeight="true" outlineLevel="0" collapsed="false">
      <c r="B24" s="8" t="s">
        <v>99</v>
      </c>
      <c r="C24" s="9" t="s">
        <v>100</v>
      </c>
      <c r="D24" s="9" t="s">
        <v>101</v>
      </c>
    </row>
    <row r="25" customFormat="false" ht="30" hidden="false" customHeight="true" outlineLevel="0" collapsed="false">
      <c r="B25" s="8" t="s">
        <v>84</v>
      </c>
      <c r="C25" s="9" t="s">
        <v>102</v>
      </c>
      <c r="D25" s="9" t="s">
        <v>103</v>
      </c>
    </row>
    <row r="26" customFormat="false" ht="30" hidden="false" customHeight="true" outlineLevel="0" collapsed="false">
      <c r="B26" s="8" t="s">
        <v>104</v>
      </c>
      <c r="C26" s="9" t="s">
        <v>105</v>
      </c>
      <c r="D26" s="9" t="s">
        <v>106</v>
      </c>
    </row>
    <row r="27" customFormat="false" ht="30" hidden="false" customHeight="true" outlineLevel="0" collapsed="false">
      <c r="B27" s="8" t="s">
        <v>107</v>
      </c>
      <c r="C27" s="9" t="s">
        <v>108</v>
      </c>
      <c r="D27" s="9" t="s">
        <v>109</v>
      </c>
    </row>
  </sheetData>
  <mergeCells count="4">
    <mergeCell ref="C16:D16"/>
    <mergeCell ref="C17:D17"/>
    <mergeCell ref="C18:D18"/>
    <mergeCell ref="B20:D20"/>
  </mergeCells>
  <conditionalFormatting sqref="C16:D16">
    <cfRule type="expression" priority="2" aboveAverage="0" equalAverage="0" bottom="0" percent="0" rank="0" text="" dxfId="1">
      <formula>ISNUMBER(SEARCH("Yes —",C16))</formula>
    </cfRule>
    <cfRule type="expression" priority="3" aboveAverage="0" equalAverage="0" bottom="0" percent="0" rank="0" text="" dxfId="0">
      <formula>ISNUMBER(SEARCH("No —",C16))</formula>
    </cfRule>
  </conditionalFormatting>
  <conditionalFormatting sqref="C17:D17">
    <cfRule type="expression" priority="4" aboveAverage="0" equalAverage="0" bottom="0" percent="0" rank="0" text="" dxfId="1">
      <formula>ISNUMBER(SEARCH("none",C17))</formula>
    </cfRule>
    <cfRule type="expression" priority="5" aboveAverage="0" equalAverage="0" bottom="0" percent="0" rank="0" text="" dxfId="2">
      <formula>ISNUMBER(SEARCH("add:",C17))</formula>
    </cfRule>
  </conditionalFormatting>
  <dataValidations count="6"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  <dataValidation allowBlank="false" errorStyle="stop" operator="between" showDropDown="false" showErrorMessage="false" showInputMessage="false" sqref="C11" type="list">
      <formula1>"Yes,No"</formula1>
      <formula2>0</formula2>
    </dataValidation>
    <dataValidation allowBlank="false" errorStyle="stop" operator="between" showDropDown="false" showErrorMessage="false" showInputMessage="false" sqref="C13" type="list">
      <formula1>"Low,Medium,High,Regulated"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true" outlineLevel="0" max="10" min="10" style="0" width="13"/>
  </cols>
  <sheetData>
    <row r="2" customFormat="false" ht="15" hidden="false" customHeight="false" outlineLevel="0" collapsed="false">
      <c r="B2" s="1" t="s">
        <v>110</v>
      </c>
    </row>
    <row r="3" customFormat="false" ht="19.7" hidden="false" customHeight="false" outlineLevel="0" collapsed="false">
      <c r="B3" s="2" t="s">
        <v>111</v>
      </c>
    </row>
    <row r="5" customFormat="false" ht="15" hidden="false" customHeight="false" outlineLevel="0" collapsed="false">
      <c r="B5" s="3" t="s">
        <v>112</v>
      </c>
    </row>
    <row r="7" customFormat="false" ht="15" hidden="false" customHeight="false" outlineLevel="0" collapsed="false">
      <c r="B7" s="12" t="s">
        <v>113</v>
      </c>
      <c r="C7" s="4" t="s">
        <v>55</v>
      </c>
      <c r="J7" s="24" t="n">
        <f aca="false">VLOOKUP(C9,$B$21:$D$24,2,FALSE())</f>
        <v>0.68</v>
      </c>
    </row>
    <row r="8" customFormat="false" ht="15" hidden="false" customHeight="false" outlineLevel="0" collapsed="false">
      <c r="B8" s="12" t="s">
        <v>114</v>
      </c>
      <c r="C8" s="4" t="s">
        <v>55</v>
      </c>
      <c r="J8" s="24" t="n">
        <f aca="false">VLOOKUP(C9,$B$21:$D$24,3,FALSE())</f>
        <v>0.85</v>
      </c>
    </row>
    <row r="9" customFormat="false" ht="15" hidden="false" customHeight="false" outlineLevel="0" collapsed="false">
      <c r="B9" s="12" t="s">
        <v>115</v>
      </c>
      <c r="C9" s="4" t="s">
        <v>116</v>
      </c>
    </row>
    <row r="11" customFormat="false" ht="15" hidden="false" customHeight="false" outlineLevel="0" collapsed="false">
      <c r="B11" s="12" t="s">
        <v>117</v>
      </c>
      <c r="C11" s="27" t="n">
        <f aca="false">J7</f>
        <v>0.68</v>
      </c>
    </row>
    <row r="12" customFormat="false" ht="15" hidden="false" customHeight="false" outlineLevel="0" collapsed="false">
      <c r="B12" s="12" t="s">
        <v>118</v>
      </c>
      <c r="C12" s="27" t="n">
        <f aca="false">J8</f>
        <v>0.85</v>
      </c>
    </row>
    <row r="14" customFormat="false" ht="15" hidden="false" customHeight="false" outlineLevel="0" collapsed="false">
      <c r="B14" s="13" t="s">
        <v>77</v>
      </c>
      <c r="C14" s="21" t="str">
        <f aca="false">IF(OR(J7&lt;VALUE(C7),J8&lt;VALUE(C8)),"BLOCKED — guardrail intervened","PASS — answer returned")</f>
        <v>BLOCKED — guardrail intervened</v>
      </c>
      <c r="D14" s="21"/>
      <c r="E14" s="21"/>
      <c r="F14" s="21"/>
    </row>
    <row r="15" customFormat="false" ht="15" hidden="false" customHeight="false" outlineLevel="0" collapsed="false">
      <c r="B15" s="12" t="s">
        <v>52</v>
      </c>
      <c r="C15" s="26" t="str">
        <f aca="false">IF(AND(J7&lt;VALUE(C7),J8&lt;VALUE(C8)),"both grounding and relevance are below threshold",IF(J7&lt;VALUE(C7),"grounding "&amp;TEXT(J7,"0.00")&amp;" &lt; "&amp;C7&amp;" — answer not supported by the source",IF(J8&lt;VALUE(C8),"relevance "&amp;TEXT(J8,"0.00")&amp;" &lt; "&amp;C8&amp;" — answer is off the user's question","both pass — answer is grounded and on-topic")))</f>
        <v>grounding 0.68 &lt; 0.7 — answer not supported by the source</v>
      </c>
      <c r="D15" s="26"/>
      <c r="E15" s="26"/>
      <c r="F15" s="26"/>
    </row>
    <row r="17" customFormat="false" ht="15" hidden="false" customHeight="false" outlineLevel="0" collapsed="false">
      <c r="B17" s="28" t="s">
        <v>119</v>
      </c>
      <c r="C17" s="28"/>
      <c r="D17" s="28"/>
      <c r="E17" s="28"/>
      <c r="F17" s="28"/>
      <c r="G17" s="28"/>
    </row>
    <row r="18" customFormat="false" ht="15" hidden="false" customHeight="false" outlineLevel="0" collapsed="false">
      <c r="B18" s="7" t="s">
        <v>120</v>
      </c>
      <c r="C18" s="29" t="n">
        <v>0.5</v>
      </c>
      <c r="D18" s="29" t="n">
        <v>0.6</v>
      </c>
      <c r="E18" s="29" t="n">
        <v>0.7</v>
      </c>
      <c r="F18" s="29" t="n">
        <v>0.8</v>
      </c>
      <c r="G18" s="29" t="n">
        <v>0.9</v>
      </c>
    </row>
    <row r="19" customFormat="false" ht="15" hidden="false" customHeight="false" outlineLevel="0" collapsed="false">
      <c r="B19" s="30" t="s">
        <v>121</v>
      </c>
      <c r="C19" s="17" t="str">
        <f aca="false">IF(OR($J$7&lt;C18,$J$8&lt;VALUE($C$8)),"BLOCK","PASS")</f>
        <v>PASS</v>
      </c>
      <c r="D19" s="17" t="str">
        <f aca="false">IF(OR($J$7&lt;D18,$J$8&lt;VALUE($C$8)),"BLOCK","PASS")</f>
        <v>PASS</v>
      </c>
      <c r="E19" s="17" t="str">
        <f aca="false">IF(OR($J$7&lt;E18,$J$8&lt;VALUE($C$8)),"BLOCK","PASS")</f>
        <v>BLOCK</v>
      </c>
      <c r="F19" s="17" t="str">
        <f aca="false">IF(OR($J$7&lt;F18,$J$8&lt;VALUE($C$8)),"BLOCK","PASS")</f>
        <v>BLOCK</v>
      </c>
      <c r="G19" s="17" t="str">
        <f aca="false">IF(OR($J$7&lt;G18,$J$8&lt;VALUE($C$8)),"BLOCK","PASS")</f>
        <v>BLOCK</v>
      </c>
    </row>
    <row r="20" customFormat="false" ht="15" hidden="false" customHeight="false" outlineLevel="0" collapsed="false">
      <c r="B20" s="7" t="s">
        <v>115</v>
      </c>
      <c r="C20" s="7" t="s">
        <v>122</v>
      </c>
      <c r="D20" s="7" t="s">
        <v>123</v>
      </c>
    </row>
    <row r="21" customFormat="false" ht="15" hidden="false" customHeight="false" outlineLevel="0" collapsed="false">
      <c r="B21" s="8" t="s">
        <v>124</v>
      </c>
      <c r="C21" s="31" t="n">
        <v>0.95</v>
      </c>
      <c r="D21" s="31" t="n">
        <v>0.92</v>
      </c>
    </row>
    <row r="22" customFormat="false" ht="15" hidden="false" customHeight="false" outlineLevel="0" collapsed="false">
      <c r="B22" s="8" t="s">
        <v>116</v>
      </c>
      <c r="C22" s="31" t="n">
        <v>0.68</v>
      </c>
      <c r="D22" s="31" t="n">
        <v>0.85</v>
      </c>
    </row>
    <row r="23" customFormat="false" ht="15" hidden="false" customHeight="false" outlineLevel="0" collapsed="false">
      <c r="B23" s="8" t="s">
        <v>125</v>
      </c>
      <c r="C23" s="31" t="n">
        <v>0.3</v>
      </c>
      <c r="D23" s="31" t="n">
        <v>0.8</v>
      </c>
    </row>
    <row r="24" customFormat="false" ht="15" hidden="false" customHeight="false" outlineLevel="0" collapsed="false">
      <c r="B24" s="8" t="s">
        <v>126</v>
      </c>
      <c r="C24" s="31" t="n">
        <v>0.6</v>
      </c>
      <c r="D24" s="31" t="n">
        <v>0.25</v>
      </c>
    </row>
    <row r="26" customFormat="false" ht="15" hidden="false" customHeight="false" outlineLevel="0" collapsed="false">
      <c r="B26" s="22" t="s">
        <v>127</v>
      </c>
      <c r="C26" s="22"/>
      <c r="D26" s="22"/>
      <c r="E26" s="22"/>
      <c r="F26" s="22"/>
      <c r="G26" s="22"/>
    </row>
  </sheetData>
  <mergeCells count="4">
    <mergeCell ref="C14:F14"/>
    <mergeCell ref="C15:F15"/>
    <mergeCell ref="B17:G17"/>
    <mergeCell ref="B26:G26"/>
  </mergeCells>
  <conditionalFormatting sqref="C14:F14">
    <cfRule type="expression" priority="2" aboveAverage="0" equalAverage="0" bottom="0" percent="0" rank="0" text="" dxfId="0">
      <formula>ISNUMBER(SEARCH("BLOCKED",C14))</formula>
    </cfRule>
    <cfRule type="expression" priority="3" aboveAverage="0" equalAverage="0" bottom="0" percent="0" rank="0" text="" dxfId="1">
      <formula>ISNUMBER(SEARCH("PASS",C14))</formula>
    </cfRule>
  </conditionalFormatting>
  <conditionalFormatting sqref="C19:G19">
    <cfRule type="expression" priority="4" aboveAverage="0" equalAverage="0" bottom="0" percent="0" rank="0" text="" dxfId="0">
      <formula>ISNUMBER(SEARCH("BLOCK",C19))</formula>
    </cfRule>
    <cfRule type="expression" priority="5" aboveAverage="0" equalAverage="0" bottom="0" percent="0" rank="0" text="" dxfId="1">
      <formula>ISNUMBER(SEARCH("PASS",C19))</formula>
    </cfRule>
  </conditionalFormatting>
  <dataValidations count="3">
    <dataValidation allowBlank="false" errorStyle="stop" operator="between" showDropDown="false" showErrorMessage="false" showInputMessage="false" sqref="C7" type="list">
      <formula1>"0.5,0.6,0.7,0.8,0.9"</formula1>
      <formula2>0</formula2>
    </dataValidation>
    <dataValidation allowBlank="false" errorStyle="stop" operator="between" showDropDown="false" showErrorMessage="false" showInputMessage="false" sqref="C8" type="list">
      <formula1>"0.5,0.6,0.7,0.8,0.9"</formula1>
      <formula2>0</formula2>
    </dataValidation>
    <dataValidation allowBlank="false" errorStyle="stop" operator="between" showDropDown="false" showErrorMessage="false" showInputMessage="false" sqref="C9" type="list">
      <formula1>"Fully grounded,Partially grounded,Invented flight,Off-topic"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52"/>
  </cols>
  <sheetData>
    <row r="2" customFormat="false" ht="15" hidden="false" customHeight="false" outlineLevel="0" collapsed="false">
      <c r="B2" s="1" t="s">
        <v>128</v>
      </c>
    </row>
    <row r="3" customFormat="false" ht="19.7" hidden="false" customHeight="false" outlineLevel="0" collapsed="false">
      <c r="B3" s="2" t="s">
        <v>129</v>
      </c>
    </row>
    <row r="5" customFormat="false" ht="15" hidden="false" customHeight="false" outlineLevel="0" collapsed="false">
      <c r="B5" s="3" t="s">
        <v>130</v>
      </c>
    </row>
    <row r="7" customFormat="false" ht="15" hidden="false" customHeight="false" outlineLevel="0" collapsed="false">
      <c r="B7" s="12" t="s">
        <v>131</v>
      </c>
      <c r="C7" s="4" t="s">
        <v>132</v>
      </c>
      <c r="D7" s="4"/>
    </row>
    <row r="9" customFormat="false" ht="15" hidden="false" customHeight="false" outlineLevel="0" collapsed="false">
      <c r="B9" s="12" t="s">
        <v>133</v>
      </c>
      <c r="C9" s="21" t="str">
        <f aca="false">VLOOKUP(C7,$B$14:$D$19,2,FALSE())</f>
        <v>max_turns cap + spin-detection + a fallback tool</v>
      </c>
      <c r="D9" s="21"/>
    </row>
    <row r="10" customFormat="false" ht="15" hidden="false" customHeight="false" outlineLevel="0" collapsed="false">
      <c r="B10" s="12" t="s">
        <v>134</v>
      </c>
      <c r="C10" s="19" t="str">
        <f aca="false">VLOOKUP(C7,$B$14:$D$19,3,FALSE())</f>
        <v>The cap is a backstop; the fallback tool is the real exit. Detect identical repeated calls and break.</v>
      </c>
      <c r="D10" s="19"/>
    </row>
    <row r="11" customFormat="false" ht="15" hidden="false" customHeight="false" outlineLevel="0" collapsed="false">
      <c r="C11" s="19"/>
      <c r="D11" s="19"/>
    </row>
    <row r="12" customFormat="false" ht="15" hidden="false" customHeight="false" outlineLevel="0" collapsed="false">
      <c r="C12" s="19"/>
      <c r="D12" s="19"/>
    </row>
    <row r="13" customFormat="false" ht="15" hidden="false" customHeight="false" outlineLevel="0" collapsed="false">
      <c r="B13" s="7" t="s">
        <v>135</v>
      </c>
      <c r="C13" s="7" t="s">
        <v>133</v>
      </c>
      <c r="D13" s="7" t="s">
        <v>134</v>
      </c>
    </row>
    <row r="14" customFormat="false" ht="43.5" hidden="false" customHeight="true" outlineLevel="0" collapsed="false">
      <c r="B14" s="8" t="s">
        <v>132</v>
      </c>
      <c r="C14" s="18" t="s">
        <v>136</v>
      </c>
      <c r="D14" s="9" t="s">
        <v>137</v>
      </c>
    </row>
    <row r="15" customFormat="false" ht="43.5" hidden="false" customHeight="true" outlineLevel="0" collapsed="false">
      <c r="B15" s="8" t="s">
        <v>138</v>
      </c>
      <c r="C15" s="18" t="s">
        <v>139</v>
      </c>
      <c r="D15" s="9" t="s">
        <v>140</v>
      </c>
    </row>
    <row r="16" customFormat="false" ht="43.5" hidden="false" customHeight="true" outlineLevel="0" collapsed="false">
      <c r="B16" s="8" t="s">
        <v>141</v>
      </c>
      <c r="C16" s="18" t="s">
        <v>142</v>
      </c>
      <c r="D16" s="9" t="s">
        <v>143</v>
      </c>
    </row>
    <row r="17" customFormat="false" ht="43.5" hidden="false" customHeight="true" outlineLevel="0" collapsed="false">
      <c r="B17" s="8" t="s">
        <v>144</v>
      </c>
      <c r="C17" s="18" t="s">
        <v>145</v>
      </c>
      <c r="D17" s="9" t="s">
        <v>146</v>
      </c>
    </row>
    <row r="18" customFormat="false" ht="43.5" hidden="false" customHeight="true" outlineLevel="0" collapsed="false">
      <c r="B18" s="8" t="s">
        <v>147</v>
      </c>
      <c r="C18" s="18" t="s">
        <v>148</v>
      </c>
      <c r="D18" s="9" t="s">
        <v>149</v>
      </c>
    </row>
    <row r="19" customFormat="false" ht="43.5" hidden="false" customHeight="true" outlineLevel="0" collapsed="false">
      <c r="B19" s="8" t="s">
        <v>150</v>
      </c>
      <c r="C19" s="18" t="s">
        <v>151</v>
      </c>
      <c r="D19" s="9" t="s">
        <v>152</v>
      </c>
    </row>
    <row r="21" customFormat="false" ht="15" hidden="false" customHeight="false" outlineLevel="0" collapsed="false">
      <c r="B21" s="22" t="s">
        <v>153</v>
      </c>
      <c r="C21" s="22"/>
      <c r="D21" s="22"/>
    </row>
  </sheetData>
  <mergeCells count="4">
    <mergeCell ref="C7:D7"/>
    <mergeCell ref="C9:D9"/>
    <mergeCell ref="C10:D12"/>
    <mergeCell ref="B21:D21"/>
  </mergeCells>
  <dataValidations count="1">
    <dataValidation allowBlank="false" errorStyle="stop" operator="between" showDropDown="false" showErrorMessage="false" showInputMessage="false" sqref="C7" type="list">
      <formula1>"Runaway loop,Need determinism,Reasoning model,Ungrounded answers,Regulated output,Verify before answering"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2026-06-03T02:18:24Z</dcterms:created>
  <dc:creator>openpyxl</dc:creator>
  <dc:description/>
  <dc:language>en-US</dc:language>
  <cp:lastModifiedBy/>
  <dcterms:modified xsi:type="dcterms:W3CDTF">2026-06-03T02:18:24Z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