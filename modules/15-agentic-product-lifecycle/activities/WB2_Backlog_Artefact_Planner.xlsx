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Worked example" sheetId="2" state="visible" r:id="rId4"/>
    <sheet name="Triage" sheetId="3" state="visible" r:id="rId5"/>
    <sheet name="Portfolio" sheetId="4" state="visible" r:id="rId6"/>
    <sheet name="Reading 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<sst xmlns="http://schemas.openxmlformats.org/spreadsheetml/2006/main" count="103" uniqueCount="68">
  <si>
    <t xml:space="preserve">Backlog Artefact Planner</t>
  </si>
  <si>
    <t xml:space="preserve">Score a whole backlog at once. See who owes what, and where the documentation effort sits.</t>
  </si>
  <si>
    <t xml:space="preserve">WHAT THIS IS</t>
  </si>
  <si>
    <t xml:space="preserve">A portfolio tool. Where the Decision Tool takes one feature deep, this takes your whole backlog wide. One row per feature, a few answers each, and it tells you the artefact load across everything.</t>
  </si>
  <si>
    <t xml:space="preserve">HOW TO USE IT</t>
  </si>
  <si>
    <t xml:space="preserve">1  Worked example</t>
  </si>
  <si>
    <t xml:space="preserve">The 'Worked example' tab has the four flight-change features pre-filled so you can see the pattern before you start.</t>
  </si>
  <si>
    <t xml:space="preserve">2  Triage</t>
  </si>
  <si>
    <t xml:space="preserve">On 'Triage' put one feature per row and answer the five columns. The sheet returns each feature's autonomy ceiling, its acceptance bar and how many artefacts it owes.</t>
  </si>
  <si>
    <t xml:space="preserve">3  Portfolio</t>
  </si>
  <si>
    <t xml:space="preserve">'Portfolio' totals it: how many features, how many need a full agent, how many are just rules, and the total artefact count to plan for.</t>
  </si>
  <si>
    <t xml:space="preserve">4  Reading it</t>
  </si>
  <si>
    <t xml:space="preserve">'Reading it' explains the four patterns that recur, so you know what each result is telling you.</t>
  </si>
  <si>
    <t xml:space="preserve">WHICH CELLS TO EDIT</t>
  </si>
  <si>
    <t xml:space="preserve">Only the pale-blue cells on 'Triage'. Everything else is computed.</t>
  </si>
  <si>
    <t xml:space="preserve">THE MOST USEFUL OUTPUT</t>
  </si>
  <si>
    <t xml:space="preserve">The count of features that need NO model. Those are the rows you take out of the AI conversation entirely. The Portfolio tab reports it directly.</t>
  </si>
  <si>
    <t xml:space="preserve">  </t>
  </si>
  <si>
    <t xml:space="preserve">Pale blue = you fill this in</t>
  </si>
  <si>
    <t xml:space="preserve">Worked example: the four flight-change shapes</t>
  </si>
  <si>
    <t xml:space="preserve">The same four builds from the deck, scored. Study these, then do your own on the Triage tab.</t>
  </si>
  <si>
    <t xml:space="preserve">Feature</t>
  </si>
  <si>
    <t xml:space="preserve">Worst action reversible?</t>
  </si>
  <si>
    <t xml:space="preserve">Worst action hurts?</t>
  </si>
  <si>
    <t xml:space="preserve">Model decides?</t>
  </si>
  <si>
    <t xml:space="preserve">Decisions open?</t>
  </si>
  <si>
    <t xml:space="preserve">Runs with other agents?</t>
  </si>
  <si>
    <t xml:space="preserve">Right saves $</t>
  </si>
  <si>
    <t xml:space="preserve">Wrong costs $</t>
  </si>
  <si>
    <t xml:space="preserve">Ceiling</t>
  </si>
  <si>
    <t xml:space="preserve">Bar</t>
  </si>
  <si>
    <t xml:space="preserve">Build type</t>
  </si>
  <si>
    <t xml:space="preserve">Artefacts owed</t>
  </si>
  <si>
    <t xml:space="preserve">Same-route move</t>
  </si>
  <si>
    <t xml:space="preserve">Yes</t>
  </si>
  <si>
    <t xml:space="preserve">No</t>
  </si>
  <si>
    <t xml:space="preserve">Reprice &amp; reissue</t>
  </si>
  <si>
    <t xml:space="preserve">Choose alternatives</t>
  </si>
  <si>
    <t xml:space="preserve">Codeshare + visa</t>
  </si>
  <si>
    <t xml:space="preserve">Read the last row: a codeshare change is irreversible, hurts, uses a model, has open decisions. It is agentic, its bar is 80%, and it owes 8 artefacts. The first row is just a rule and owes 5.</t>
  </si>
  <si>
    <t xml:space="preserve">Your backlog</t>
  </si>
  <si>
    <t xml:space="preserve">One feature per row. Fill the blue cells; the last four columns compute.</t>
  </si>
  <si>
    <t xml:space="preserve">(example) Refund eligibility</t>
  </si>
  <si>
    <t xml:space="preserve">The portfolio view</t>
  </si>
  <si>
    <t xml:space="preserve">What your whole backlog adds up to. This is the planning number for the phase.</t>
  </si>
  <si>
    <t xml:space="preserve">Features scored</t>
  </si>
  <si>
    <t xml:space="preserve">every row with a name</t>
  </si>
  <si>
    <t xml:space="preserve">Need a full agent</t>
  </si>
  <si>
    <t xml:space="preserve">these need the whole artefact set</t>
  </si>
  <si>
    <t xml:space="preserve">Need a person + model</t>
  </si>
  <si>
    <t xml:space="preserve">model suggests, a person decides</t>
  </si>
  <si>
    <t xml:space="preserve">Just a rule or workflow</t>
  </si>
  <si>
    <t xml:space="preserve">NO model needed — take these out of the AI conversation</t>
  </si>
  <si>
    <t xml:space="preserve">Total artefacts to plan for</t>
  </si>
  <si>
    <t xml:space="preserve">the documentation load across the backlog</t>
  </si>
  <si>
    <t xml:space="preserve">Average artefacts per feature</t>
  </si>
  <si>
    <t xml:space="preserve">how heavy each feature is on average</t>
  </si>
  <si>
    <t xml:space="preserve">The green number is the most useful one. Those features do not need a model at all, so they carry only the mandatory five and never enter the agent backlog.</t>
  </si>
  <si>
    <t xml:space="preserve">Reading the results</t>
  </si>
  <si>
    <t xml:space="preserve">Four patterns recur. Here is what each one is telling you.</t>
  </si>
  <si>
    <t xml:space="preserve">Rule / workflow, 5 artefacts</t>
  </si>
  <si>
    <t xml:space="preserve">No model, lowest documentation load. These ship fast and should leave the AI conversation. If most of your backlog is here, you have less agentic work than it feels like.</t>
  </si>
  <si>
    <t xml:space="preserve">Agentic, 8+ artefacts</t>
  </si>
  <si>
    <t xml:space="preserve">A model decides across tools, and it acts. This is the real work: the full mandatory five plus the conditional artefacts its behaviour triggers. Plan the most time here.</t>
  </si>
  <si>
    <t xml:space="preserve">High bar (90%+)</t>
  </si>
  <si>
    <t xml:space="preserve">The damage per wrong answer is large relative to the saving. Before building, ask whether a hold on the risky action lowers the damage, which lowers the bar.</t>
  </si>
  <si>
    <t xml:space="preserve">L1 ceiling</t>
  </si>
  <si>
    <t xml:space="preserve">One irreversible, harmful action is holding the whole agent down. Look for the single action to route through a person, which raises the ceiling for everything else.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</si>
</sst>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General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5C7A52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1"/>
      <color rgb="FF37415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0"/>
      <color rgb="FFB8763A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3"/>
      <color rgb="FF5B4889"/>
      <name val="Arial"/>
      <family val="0"/>
      <charset val="1"/>
    </font>
    <font>
      <b val="true"/>
      <sz val="13"/>
      <color rgb="FF5C7A52"/>
      <name val="Arial"/>
      <family val="0"/>
      <charset val="1"/>
    </font>
    <font>
      <b val="true"/>
      <sz val="13"/>
      <color rgb="FFB8763A"/>
      <name val="Arial"/>
      <family val="0"/>
      <charset val="1"/>
    </font>
    <font>
      <b val="true"/>
      <sz val="9"/>
      <color rgb="FF5C7A52"/>
      <name val="Arial"/>
      <family val="0"/>
      <charset val="1"/>
    </font>
    <font>
      <b val="true"/>
      <sz val="11"/>
      <color rgb="FF5C7A5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CE9F5"/>
        <bgColor rgb="FFE8F0E6"/>
      </patternFill>
    </fill>
    <fill>
      <patternFill patternType="solid">
        <fgColor rgb="FF1F2937"/>
        <bgColor rgb="FF333300"/>
      </patternFill>
    </fill>
    <fill>
      <patternFill patternType="solid">
        <fgColor rgb="FFFBEACA"/>
        <bgColor rgb="FFE8F0E6"/>
      </patternFill>
    </fill>
    <fill>
      <patternFill patternType="solid">
        <fgColor rgb="FFFAF8F5"/>
        <bgColor rgb="FFFFFFFF"/>
      </patternFill>
    </fill>
    <fill>
      <patternFill patternType="solid">
        <fgColor rgb="FFDACFE8"/>
        <bgColor rgb="FFD8DCE2"/>
      </patternFill>
    </fill>
    <fill>
      <patternFill patternType="solid">
        <fgColor rgb="FFE8F0E6"/>
        <bgColor rgb="FFDCE9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5C7A52"/>
        <sz val="10"/>
      </font>
      <fill>
        <patternFill>
          <bgColor rgb="FFC8DDC8"/>
        </patternFill>
      </fill>
    </dxf>
    <dxf>
      <font>
        <name val="Arial"/>
        <charset val="1"/>
        <family val="0"/>
        <b val="1"/>
        <color rgb="FF5B4889"/>
        <sz val="10"/>
      </font>
      <fill>
        <patternFill>
          <bgColor rgb="FFDACFE8"/>
        </patternFill>
      </fill>
    </dxf>
    <dxf>
      <font>
        <name val="Arial"/>
        <charset val="1"/>
        <family val="0"/>
        <b val="1"/>
        <color rgb="FFB8763A"/>
        <sz val="10"/>
      </font>
      <fill>
        <patternFill>
          <bgColor rgb="FFFAD9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63A"/>
      <rgbColor rgb="FF800080"/>
      <rgbColor rgb="FF008080"/>
      <rgbColor rgb="FFC8DDC8"/>
      <rgbColor rgb="FF5C7A52"/>
      <rgbColor rgb="FF9999FF"/>
      <rgbColor rgb="FF5B4889"/>
      <rgbColor rgb="FFFAF8F5"/>
      <rgbColor rgb="FFDCE9F5"/>
      <rgbColor rgb="FF660066"/>
      <rgbColor rgb="FFFF8080"/>
      <rgbColor rgb="FF0066CC"/>
      <rgbColor rgb="FFDAC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6"/>
      <rgbColor rgb="FFD8DCE2"/>
      <rgbColor rgb="FFFBEACA"/>
      <rgbColor rgb="FF99CCFF"/>
      <rgbColor rgb="FFFF99CC"/>
      <rgbColor rgb="FFCC99FF"/>
      <rgbColor rgb="FFFAD9B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64"/>
    <col collapsed="false" customWidth="true" hidden="false" outlineLevel="0" max="4" min="4" style="0" width="2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B4" s="3" t="s">
        <v>2</v>
      </c>
      <c r="C4" s="3"/>
    </row>
    <row r="5" customFormat="false" ht="43.5" hidden="false" customHeight="true" outlineLevel="0" collapsed="false">
      <c r="B5" s="4"/>
      <c r="C5" s="5" t="s">
        <v>3</v>
      </c>
    </row>
    <row r="6" customFormat="false" ht="19.5" hidden="false" customHeight="true" outlineLevel="0" collapsed="false">
      <c r="B6" s="3" t="s">
        <v>4</v>
      </c>
      <c r="C6" s="3"/>
    </row>
    <row r="7" customFormat="false" ht="43.5" hidden="false" customHeight="true" outlineLevel="0" collapsed="false">
      <c r="B7" s="4" t="s">
        <v>5</v>
      </c>
      <c r="C7" s="5" t="s">
        <v>6</v>
      </c>
    </row>
    <row r="8" customFormat="false" ht="43.5" hidden="false" customHeight="true" outlineLevel="0" collapsed="false">
      <c r="B8" s="4" t="s">
        <v>7</v>
      </c>
      <c r="C8" s="5" t="s">
        <v>8</v>
      </c>
    </row>
    <row r="9" customFormat="false" ht="43.5" hidden="false" customHeight="true" outlineLevel="0" collapsed="false">
      <c r="B9" s="4" t="s">
        <v>9</v>
      </c>
      <c r="C9" s="5" t="s">
        <v>10</v>
      </c>
    </row>
    <row r="10" customFormat="false" ht="43.5" hidden="false" customHeight="true" outlineLevel="0" collapsed="false">
      <c r="B10" s="4" t="s">
        <v>11</v>
      </c>
      <c r="C10" s="5" t="s">
        <v>12</v>
      </c>
    </row>
    <row r="11" customFormat="false" ht="19.5" hidden="false" customHeight="true" outlineLevel="0" collapsed="false">
      <c r="B11" s="3" t="s">
        <v>13</v>
      </c>
      <c r="C11" s="3"/>
    </row>
    <row r="12" customFormat="false" ht="30" hidden="false" customHeight="true" outlineLevel="0" collapsed="false">
      <c r="B12" s="4"/>
      <c r="C12" s="5" t="s">
        <v>14</v>
      </c>
    </row>
    <row r="13" customFormat="false" ht="19.5" hidden="false" customHeight="true" outlineLevel="0" collapsed="false">
      <c r="B13" s="3" t="s">
        <v>15</v>
      </c>
      <c r="C13" s="3"/>
    </row>
    <row r="14" customFormat="false" ht="43.5" hidden="false" customHeight="true" outlineLevel="0" collapsed="false">
      <c r="B14" s="4"/>
      <c r="C14" s="5" t="s">
        <v>16</v>
      </c>
    </row>
    <row r="16" customFormat="false" ht="15" hidden="false" customHeight="false" outlineLevel="0" collapsed="false">
      <c r="B16" s="6" t="s">
        <v>17</v>
      </c>
      <c r="C16" s="7" t="s">
        <v>18</v>
      </c>
    </row>
  </sheetData>
  <mergeCells count="6">
    <mergeCell ref="A1:C1"/>
    <mergeCell ref="A2:C2"/>
    <mergeCell ref="B4:C4"/>
    <mergeCell ref="B6:C6"/>
    <mergeCell ref="B11:C11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2"/>
  </cols>
  <sheetData>
    <row r="1" customFormat="false" ht="24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</row>
    <row r="5" customFormat="false" ht="21.75" hidden="false" customHeight="true" outlineLevel="0" collapsed="false">
      <c r="B5" s="9" t="s">
        <v>33</v>
      </c>
      <c r="C5" s="10" t="s">
        <v>34</v>
      </c>
      <c r="D5" s="10" t="s">
        <v>35</v>
      </c>
      <c r="E5" s="10" t="s">
        <v>35</v>
      </c>
      <c r="F5" s="10" t="s">
        <v>35</v>
      </c>
      <c r="G5" s="10" t="s">
        <v>35</v>
      </c>
      <c r="H5" s="11" t="n">
        <v>8</v>
      </c>
      <c r="I5" s="11" t="n">
        <v>8</v>
      </c>
      <c r="J5" s="12" t="str">
        <f aca="false">IF(OR(C5="",D5=""),"",IF(AND(C5="No",D5="Yes"),"L1",IF(AND(C5="No",D5="No"),"L2",IF(AND(C5="Yes",D5="Yes"),"L2","L3"))))</f>
        <v>L3</v>
      </c>
      <c r="K5" s="13" t="n">
        <f aca="false">IF(AND(ISNUMBER(H5),ISNUMBER(I5),H5&gt;0),1-1/(I5/H5+1),"")</f>
        <v>0.5</v>
      </c>
      <c r="L5" s="14" t="str">
        <f aca="false">IF(E5="","",IF(E5="No","Rule / workflow",IF(OR(J5="L1",J5="L2"),"Agentic","Assisted")))</f>
        <v>Rule / workflow</v>
      </c>
      <c r="M5" s="15" t="n">
        <f aca="false">IF(B5="","",5+IF(E5="Yes",1,0)+IF(F5="Yes",1,0)+IF(G5="Yes",1,0)+IF(AND(E5="Yes",OR(J5="L1",J5="L2")),1,0))</f>
        <v>5</v>
      </c>
    </row>
    <row r="6" customFormat="false" ht="21.75" hidden="false" customHeight="true" outlineLevel="0" collapsed="false">
      <c r="B6" s="9" t="s">
        <v>36</v>
      </c>
      <c r="C6" s="10" t="s">
        <v>35</v>
      </c>
      <c r="D6" s="10" t="s">
        <v>35</v>
      </c>
      <c r="E6" s="10" t="s">
        <v>35</v>
      </c>
      <c r="F6" s="10" t="s">
        <v>35</v>
      </c>
      <c r="G6" s="10" t="s">
        <v>35</v>
      </c>
      <c r="H6" s="11" t="n">
        <v>8</v>
      </c>
      <c r="I6" s="11" t="n">
        <v>8</v>
      </c>
      <c r="J6" s="12" t="str">
        <f aca="false">IF(OR(C6="",D6=""),"",IF(AND(C6="No",D6="Yes"),"L1",IF(AND(C6="No",D6="No"),"L2",IF(AND(C6="Yes",D6="Yes"),"L2","L3"))))</f>
        <v>L2</v>
      </c>
      <c r="K6" s="13" t="n">
        <f aca="false">IF(AND(ISNUMBER(H6),ISNUMBER(I6),H6&gt;0),1-1/(I6/H6+1),"")</f>
        <v>0.5</v>
      </c>
      <c r="L6" s="14" t="str">
        <f aca="false">IF(E6="","",IF(E6="No","Rule / workflow",IF(OR(J6="L1",J6="L2"),"Agentic","Assisted")))</f>
        <v>Rule / workflow</v>
      </c>
      <c r="M6" s="15" t="n">
        <f aca="false">IF(B6="","",5+IF(E6="Yes",1,0)+IF(F6="Yes",1,0)+IF(G6="Yes",1,0)+IF(AND(E6="Yes",OR(J6="L1",J6="L2")),1,0))</f>
        <v>5</v>
      </c>
    </row>
    <row r="7" customFormat="false" ht="21.75" hidden="false" customHeight="true" outlineLevel="0" collapsed="false">
      <c r="B7" s="9" t="s">
        <v>37</v>
      </c>
      <c r="C7" s="10" t="s">
        <v>34</v>
      </c>
      <c r="D7" s="10" t="s">
        <v>35</v>
      </c>
      <c r="E7" s="10" t="s">
        <v>34</v>
      </c>
      <c r="F7" s="10" t="s">
        <v>35</v>
      </c>
      <c r="G7" s="10" t="s">
        <v>35</v>
      </c>
      <c r="H7" s="11" t="n">
        <v>8</v>
      </c>
      <c r="I7" s="11" t="n">
        <v>32</v>
      </c>
      <c r="J7" s="12" t="str">
        <f aca="false">IF(OR(C7="",D7=""),"",IF(AND(C7="No",D7="Yes"),"L1",IF(AND(C7="No",D7="No"),"L2",IF(AND(C7="Yes",D7="Yes"),"L2","L3"))))</f>
        <v>L3</v>
      </c>
      <c r="K7" s="13" t="n">
        <f aca="false">IF(AND(ISNUMBER(H7),ISNUMBER(I7),H7&gt;0),1-1/(I7/H7+1),"")</f>
        <v>0.8</v>
      </c>
      <c r="L7" s="14" t="str">
        <f aca="false">IF(E7="","",IF(E7="No","Rule / workflow",IF(OR(J7="L1",J7="L2"),"Agentic","Assisted")))</f>
        <v>Assisted</v>
      </c>
      <c r="M7" s="15" t="n">
        <f aca="false">IF(B7="","",5+IF(E7="Yes",1,0)+IF(F7="Yes",1,0)+IF(G7="Yes",1,0)+IF(AND(E7="Yes",OR(J7="L1",J7="L2")),1,0))</f>
        <v>6</v>
      </c>
    </row>
    <row r="8" customFormat="false" ht="21.75" hidden="false" customHeight="true" outlineLevel="0" collapsed="false">
      <c r="B8" s="9" t="s">
        <v>38</v>
      </c>
      <c r="C8" s="10" t="s">
        <v>35</v>
      </c>
      <c r="D8" s="10" t="s">
        <v>34</v>
      </c>
      <c r="E8" s="10" t="s">
        <v>34</v>
      </c>
      <c r="F8" s="10" t="s">
        <v>34</v>
      </c>
      <c r="G8" s="10" t="s">
        <v>35</v>
      </c>
      <c r="H8" s="11" t="n">
        <v>8</v>
      </c>
      <c r="I8" s="11" t="n">
        <v>32</v>
      </c>
      <c r="J8" s="12" t="str">
        <f aca="false">IF(OR(C8="",D8=""),"",IF(AND(C8="No",D8="Yes"),"L1",IF(AND(C8="No",D8="No"),"L2",IF(AND(C8="Yes",D8="Yes"),"L2","L3"))))</f>
        <v>L1</v>
      </c>
      <c r="K8" s="13" t="n">
        <f aca="false">IF(AND(ISNUMBER(H8),ISNUMBER(I8),H8&gt;0),1-1/(I8/H8+1),"")</f>
        <v>0.8</v>
      </c>
      <c r="L8" s="14" t="str">
        <f aca="false">IF(E8="","",IF(E8="No","Rule / workflow",IF(OR(J8="L1",J8="L2"),"Agentic","Assisted")))</f>
        <v>Agentic</v>
      </c>
      <c r="M8" s="15" t="n">
        <f aca="false">IF(B8="","",5+IF(E8="Yes",1,0)+IF(F8="Yes",1,0)+IF(G8="Yes",1,0)+IF(AND(E8="Yes",OR(J8="L1",J8="L2")),1,0))</f>
        <v>8</v>
      </c>
    </row>
    <row r="10" customFormat="false" ht="30" hidden="false" customHeight="true" outlineLevel="0" collapsed="false">
      <c r="B10" s="16" t="s">
        <v>39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mergeCells count="3">
    <mergeCell ref="A1:L1"/>
    <mergeCell ref="A2:L2"/>
    <mergeCell ref="B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2"/>
  </cols>
  <sheetData>
    <row r="1" customFormat="false" ht="24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</row>
    <row r="5" customFormat="false" ht="21.75" hidden="false" customHeight="true" outlineLevel="0" collapsed="false">
      <c r="B5" s="17" t="s">
        <v>42</v>
      </c>
      <c r="C5" s="18" t="s">
        <v>35</v>
      </c>
      <c r="D5" s="18" t="s">
        <v>34</v>
      </c>
      <c r="E5" s="18" t="s">
        <v>35</v>
      </c>
      <c r="F5" s="18" t="s">
        <v>35</v>
      </c>
      <c r="G5" s="18" t="s">
        <v>35</v>
      </c>
      <c r="H5" s="19" t="n">
        <v>10</v>
      </c>
      <c r="I5" s="19" t="n">
        <v>15</v>
      </c>
      <c r="J5" s="12" t="str">
        <f aca="false">IF(OR(C5="",D5=""),"",IF(AND(C5="No",D5="Yes"),"L1",IF(AND(C5="No",D5="No"),"L2",IF(AND(C5="Yes",D5="Yes"),"L2","L3"))))</f>
        <v>L1</v>
      </c>
      <c r="K5" s="13" t="n">
        <f aca="false">IF(AND(ISNUMBER(H5),ISNUMBER(I5),H5&gt;0),1-1/(I5/H5+1),"")</f>
        <v>0.6</v>
      </c>
      <c r="L5" s="14" t="str">
        <f aca="false">IF(E5="","",IF(E5="No","Rule / workflow",IF(OR(J5="L1",J5="L2"),"Agentic","Assisted")))</f>
        <v>Rule / workflow</v>
      </c>
      <c r="M5" s="15" t="n">
        <f aca="false">IF(B5="","",5+IF(E5="Yes",1,0)+IF(F5="Yes",1,0)+IF(G5="Yes",1,0)+IF(AND(E5="Yes",OR(J5="L1",J5="L2")),1,0))</f>
        <v>5</v>
      </c>
    </row>
    <row r="6" customFormat="false" ht="21.75" hidden="false" customHeight="true" outlineLevel="0" collapsed="false">
      <c r="B6" s="20"/>
      <c r="C6" s="21"/>
      <c r="D6" s="21"/>
      <c r="E6" s="21"/>
      <c r="F6" s="21"/>
      <c r="G6" s="21"/>
      <c r="H6" s="22"/>
      <c r="I6" s="22"/>
      <c r="J6" s="12" t="str">
        <f aca="false">IF(OR(C6="",D6=""),"",IF(AND(C6="No",D6="Yes"),"L1",IF(AND(C6="No",D6="No"),"L2",IF(AND(C6="Yes",D6="Yes"),"L2","L3"))))</f>
        <v/>
      </c>
      <c r="K6" s="13" t="str">
        <f aca="false">IF(AND(ISNUMBER(H6),ISNUMBER(I6),H6&gt;0),1-1/(I6/H6+1),"")</f>
        <v/>
      </c>
      <c r="L6" s="14" t="str">
        <f aca="false">IF(E6="","",IF(E6="No","Rule / workflow",IF(OR(J6="L1",J6="L2"),"Agentic","Assisted")))</f>
        <v/>
      </c>
      <c r="M6" s="15" t="str">
        <f aca="false">IF(B6="","",5+IF(E6="Yes",1,0)+IF(F6="Yes",1,0)+IF(G6="Yes",1,0)+IF(AND(E6="Yes",OR(J6="L1",J6="L2")),1,0))</f>
        <v/>
      </c>
    </row>
    <row r="7" customFormat="false" ht="21.75" hidden="false" customHeight="true" outlineLevel="0" collapsed="false">
      <c r="B7" s="20"/>
      <c r="C7" s="21"/>
      <c r="D7" s="21"/>
      <c r="E7" s="21"/>
      <c r="F7" s="21"/>
      <c r="G7" s="21"/>
      <c r="H7" s="22"/>
      <c r="I7" s="22"/>
      <c r="J7" s="12" t="str">
        <f aca="false">IF(OR(C7="",D7=""),"",IF(AND(C7="No",D7="Yes"),"L1",IF(AND(C7="No",D7="No"),"L2",IF(AND(C7="Yes",D7="Yes"),"L2","L3"))))</f>
        <v/>
      </c>
      <c r="K7" s="13" t="str">
        <f aca="false">IF(AND(ISNUMBER(H7),ISNUMBER(I7),H7&gt;0),1-1/(I7/H7+1),"")</f>
        <v/>
      </c>
      <c r="L7" s="14" t="str">
        <f aca="false">IF(E7="","",IF(E7="No","Rule / workflow",IF(OR(J7="L1",J7="L2"),"Agentic","Assisted")))</f>
        <v/>
      </c>
      <c r="M7" s="15" t="str">
        <f aca="false">IF(B7="","",5+IF(E7="Yes",1,0)+IF(F7="Yes",1,0)+IF(G7="Yes",1,0)+IF(AND(E7="Yes",OR(J7="L1",J7="L2")),1,0))</f>
        <v/>
      </c>
    </row>
    <row r="8" customFormat="false" ht="21.75" hidden="false" customHeight="true" outlineLevel="0" collapsed="false">
      <c r="B8" s="20"/>
      <c r="C8" s="21"/>
      <c r="D8" s="21"/>
      <c r="E8" s="21"/>
      <c r="F8" s="21"/>
      <c r="G8" s="21"/>
      <c r="H8" s="22"/>
      <c r="I8" s="22"/>
      <c r="J8" s="12" t="str">
        <f aca="false">IF(OR(C8="",D8=""),"",IF(AND(C8="No",D8="Yes"),"L1",IF(AND(C8="No",D8="No"),"L2",IF(AND(C8="Yes",D8="Yes"),"L2","L3"))))</f>
        <v/>
      </c>
      <c r="K8" s="13" t="str">
        <f aca="false">IF(AND(ISNUMBER(H8),ISNUMBER(I8),H8&gt;0),1-1/(I8/H8+1),"")</f>
        <v/>
      </c>
      <c r="L8" s="14" t="str">
        <f aca="false">IF(E8="","",IF(E8="No","Rule / workflow",IF(OR(J8="L1",J8="L2"),"Agentic","Assisted")))</f>
        <v/>
      </c>
      <c r="M8" s="15" t="str">
        <f aca="false">IF(B8="","",5+IF(E8="Yes",1,0)+IF(F8="Yes",1,0)+IF(G8="Yes",1,0)+IF(AND(E8="Yes",OR(J8="L1",J8="L2")),1,0))</f>
        <v/>
      </c>
    </row>
    <row r="9" customFormat="false" ht="21.75" hidden="false" customHeight="true" outlineLevel="0" collapsed="false">
      <c r="B9" s="20"/>
      <c r="C9" s="21"/>
      <c r="D9" s="21"/>
      <c r="E9" s="21"/>
      <c r="F9" s="21"/>
      <c r="G9" s="21"/>
      <c r="H9" s="22"/>
      <c r="I9" s="22"/>
      <c r="J9" s="12" t="str">
        <f aca="false">IF(OR(C9="",D9=""),"",IF(AND(C9="No",D9="Yes"),"L1",IF(AND(C9="No",D9="No"),"L2",IF(AND(C9="Yes",D9="Yes"),"L2","L3"))))</f>
        <v/>
      </c>
      <c r="K9" s="13" t="str">
        <f aca="false">IF(AND(ISNUMBER(H9),ISNUMBER(I9),H9&gt;0),1-1/(I9/H9+1),"")</f>
        <v/>
      </c>
      <c r="L9" s="14" t="str">
        <f aca="false">IF(E9="","",IF(E9="No","Rule / workflow",IF(OR(J9="L1",J9="L2"),"Agentic","Assisted")))</f>
        <v/>
      </c>
      <c r="M9" s="15" t="str">
        <f aca="false">IF(B9="","",5+IF(E9="Yes",1,0)+IF(F9="Yes",1,0)+IF(G9="Yes",1,0)+IF(AND(E9="Yes",OR(J9="L1",J9="L2")),1,0))</f>
        <v/>
      </c>
    </row>
    <row r="10" customFormat="false" ht="21.75" hidden="false" customHeight="true" outlineLevel="0" collapsed="false">
      <c r="B10" s="20"/>
      <c r="C10" s="21"/>
      <c r="D10" s="21"/>
      <c r="E10" s="21"/>
      <c r="F10" s="21"/>
      <c r="G10" s="21"/>
      <c r="H10" s="22"/>
      <c r="I10" s="22"/>
      <c r="J10" s="12" t="str">
        <f aca="false">IF(OR(C10="",D10=""),"",IF(AND(C10="No",D10="Yes"),"L1",IF(AND(C10="No",D10="No"),"L2",IF(AND(C10="Yes",D10="Yes"),"L2","L3"))))</f>
        <v/>
      </c>
      <c r="K10" s="13" t="str">
        <f aca="false">IF(AND(ISNUMBER(H10),ISNUMBER(I10),H10&gt;0),1-1/(I10/H10+1),"")</f>
        <v/>
      </c>
      <c r="L10" s="14" t="str">
        <f aca="false">IF(E10="","",IF(E10="No","Rule / workflow",IF(OR(J10="L1",J10="L2"),"Agentic","Assisted")))</f>
        <v/>
      </c>
      <c r="M10" s="15" t="str">
        <f aca="false">IF(B10="","",5+IF(E10="Yes",1,0)+IF(F10="Yes",1,0)+IF(G10="Yes",1,0)+IF(AND(E10="Yes",OR(J10="L1",J10="L2")),1,0))</f>
        <v/>
      </c>
    </row>
    <row r="11" customFormat="false" ht="21.75" hidden="false" customHeight="true" outlineLevel="0" collapsed="false">
      <c r="B11" s="20"/>
      <c r="C11" s="21"/>
      <c r="D11" s="21"/>
      <c r="E11" s="21"/>
      <c r="F11" s="21"/>
      <c r="G11" s="21"/>
      <c r="H11" s="22"/>
      <c r="I11" s="22"/>
      <c r="J11" s="12" t="str">
        <f aca="false">IF(OR(C11="",D11=""),"",IF(AND(C11="No",D11="Yes"),"L1",IF(AND(C11="No",D11="No"),"L2",IF(AND(C11="Yes",D11="Yes"),"L2","L3"))))</f>
        <v/>
      </c>
      <c r="K11" s="13" t="str">
        <f aca="false">IF(AND(ISNUMBER(H11),ISNUMBER(I11),H11&gt;0),1-1/(I11/H11+1),"")</f>
        <v/>
      </c>
      <c r="L11" s="14" t="str">
        <f aca="false">IF(E11="","",IF(E11="No","Rule / workflow",IF(OR(J11="L1",J11="L2"),"Agentic","Assisted")))</f>
        <v/>
      </c>
      <c r="M11" s="15" t="str">
        <f aca="false">IF(B11="","",5+IF(E11="Yes",1,0)+IF(F11="Yes",1,0)+IF(G11="Yes",1,0)+IF(AND(E11="Yes",OR(J11="L1",J11="L2")),1,0))</f>
        <v/>
      </c>
    </row>
    <row r="12" customFormat="false" ht="21.75" hidden="false" customHeight="true" outlineLevel="0" collapsed="false">
      <c r="B12" s="20"/>
      <c r="C12" s="21"/>
      <c r="D12" s="21"/>
      <c r="E12" s="21"/>
      <c r="F12" s="21"/>
      <c r="G12" s="21"/>
      <c r="H12" s="22"/>
      <c r="I12" s="22"/>
      <c r="J12" s="12" t="str">
        <f aca="false">IF(OR(C12="",D12=""),"",IF(AND(C12="No",D12="Yes"),"L1",IF(AND(C12="No",D12="No"),"L2",IF(AND(C12="Yes",D12="Yes"),"L2","L3"))))</f>
        <v/>
      </c>
      <c r="K12" s="13" t="str">
        <f aca="false">IF(AND(ISNUMBER(H12),ISNUMBER(I12),H12&gt;0),1-1/(I12/H12+1),"")</f>
        <v/>
      </c>
      <c r="L12" s="14" t="str">
        <f aca="false">IF(E12="","",IF(E12="No","Rule / workflow",IF(OR(J12="L1",J12="L2"),"Agentic","Assisted")))</f>
        <v/>
      </c>
      <c r="M12" s="15" t="str">
        <f aca="false">IF(B12="","",5+IF(E12="Yes",1,0)+IF(F12="Yes",1,0)+IF(G12="Yes",1,0)+IF(AND(E12="Yes",OR(J12="L1",J12="L2")),1,0))</f>
        <v/>
      </c>
    </row>
    <row r="13" customFormat="false" ht="21.75" hidden="false" customHeight="true" outlineLevel="0" collapsed="false">
      <c r="B13" s="20"/>
      <c r="C13" s="21"/>
      <c r="D13" s="21"/>
      <c r="E13" s="21"/>
      <c r="F13" s="21"/>
      <c r="G13" s="21"/>
      <c r="H13" s="22"/>
      <c r="I13" s="22"/>
      <c r="J13" s="12" t="str">
        <f aca="false">IF(OR(C13="",D13=""),"",IF(AND(C13="No",D13="Yes"),"L1",IF(AND(C13="No",D13="No"),"L2",IF(AND(C13="Yes",D13="Yes"),"L2","L3"))))</f>
        <v/>
      </c>
      <c r="K13" s="13" t="str">
        <f aca="false">IF(AND(ISNUMBER(H13),ISNUMBER(I13),H13&gt;0),1-1/(I13/H13+1),"")</f>
        <v/>
      </c>
      <c r="L13" s="14" t="str">
        <f aca="false">IF(E13="","",IF(E13="No","Rule / workflow",IF(OR(J13="L1",J13="L2"),"Agentic","Assisted")))</f>
        <v/>
      </c>
      <c r="M13" s="15" t="str">
        <f aca="false">IF(B13="","",5+IF(E13="Yes",1,0)+IF(F13="Yes",1,0)+IF(G13="Yes",1,0)+IF(AND(E13="Yes",OR(J13="L1",J13="L2")),1,0))</f>
        <v/>
      </c>
    </row>
    <row r="14" customFormat="false" ht="21.75" hidden="false" customHeight="true" outlineLevel="0" collapsed="false">
      <c r="B14" s="20"/>
      <c r="C14" s="21"/>
      <c r="D14" s="21"/>
      <c r="E14" s="21"/>
      <c r="F14" s="21"/>
      <c r="G14" s="21"/>
      <c r="H14" s="22"/>
      <c r="I14" s="22"/>
      <c r="J14" s="12" t="str">
        <f aca="false">IF(OR(C14="",D14=""),"",IF(AND(C14="No",D14="Yes"),"L1",IF(AND(C14="No",D14="No"),"L2",IF(AND(C14="Yes",D14="Yes"),"L2","L3"))))</f>
        <v/>
      </c>
      <c r="K14" s="13" t="str">
        <f aca="false">IF(AND(ISNUMBER(H14),ISNUMBER(I14),H14&gt;0),1-1/(I14/H14+1),"")</f>
        <v/>
      </c>
      <c r="L14" s="14" t="str">
        <f aca="false">IF(E14="","",IF(E14="No","Rule / workflow",IF(OR(J14="L1",J14="L2"),"Agentic","Assisted")))</f>
        <v/>
      </c>
      <c r="M14" s="15" t="str">
        <f aca="false">IF(B14="","",5+IF(E14="Yes",1,0)+IF(F14="Yes",1,0)+IF(G14="Yes",1,0)+IF(AND(E14="Yes",OR(J14="L1",J14="L2")),1,0))</f>
        <v/>
      </c>
    </row>
    <row r="15" customFormat="false" ht="21.75" hidden="false" customHeight="true" outlineLevel="0" collapsed="false">
      <c r="B15" s="20"/>
      <c r="C15" s="21"/>
      <c r="D15" s="21"/>
      <c r="E15" s="21"/>
      <c r="F15" s="21"/>
      <c r="G15" s="21"/>
      <c r="H15" s="22"/>
      <c r="I15" s="22"/>
      <c r="J15" s="12" t="str">
        <f aca="false">IF(OR(C15="",D15=""),"",IF(AND(C15="No",D15="Yes"),"L1",IF(AND(C15="No",D15="No"),"L2",IF(AND(C15="Yes",D15="Yes"),"L2","L3"))))</f>
        <v/>
      </c>
      <c r="K15" s="13" t="str">
        <f aca="false">IF(AND(ISNUMBER(H15),ISNUMBER(I15),H15&gt;0),1-1/(I15/H15+1),"")</f>
        <v/>
      </c>
      <c r="L15" s="14" t="str">
        <f aca="false">IF(E15="","",IF(E15="No","Rule / workflow",IF(OR(J15="L1",J15="L2"),"Agentic","Assisted")))</f>
        <v/>
      </c>
      <c r="M15" s="15" t="str">
        <f aca="false">IF(B15="","",5+IF(E15="Yes",1,0)+IF(F15="Yes",1,0)+IF(G15="Yes",1,0)+IF(AND(E15="Yes",OR(J15="L1",J15="L2")),1,0))</f>
        <v/>
      </c>
    </row>
    <row r="16" customFormat="false" ht="21.75" hidden="false" customHeight="true" outlineLevel="0" collapsed="false">
      <c r="B16" s="20"/>
      <c r="C16" s="21"/>
      <c r="D16" s="21"/>
      <c r="E16" s="21"/>
      <c r="F16" s="21"/>
      <c r="G16" s="21"/>
      <c r="H16" s="22"/>
      <c r="I16" s="22"/>
      <c r="J16" s="12" t="str">
        <f aca="false">IF(OR(C16="",D16=""),"",IF(AND(C16="No",D16="Yes"),"L1",IF(AND(C16="No",D16="No"),"L2",IF(AND(C16="Yes",D16="Yes"),"L2","L3"))))</f>
        <v/>
      </c>
      <c r="K16" s="13" t="str">
        <f aca="false">IF(AND(ISNUMBER(H16),ISNUMBER(I16),H16&gt;0),1-1/(I16/H16+1),"")</f>
        <v/>
      </c>
      <c r="L16" s="14" t="str">
        <f aca="false">IF(E16="","",IF(E16="No","Rule / workflow",IF(OR(J16="L1",J16="L2"),"Agentic","Assisted")))</f>
        <v/>
      </c>
      <c r="M16" s="15" t="str">
        <f aca="false">IF(B16="","",5+IF(E16="Yes",1,0)+IF(F16="Yes",1,0)+IF(G16="Yes",1,0)+IF(AND(E16="Yes",OR(J16="L1",J16="L2")),1,0))</f>
        <v/>
      </c>
    </row>
    <row r="17" customFormat="false" ht="21.75" hidden="false" customHeight="true" outlineLevel="0" collapsed="false">
      <c r="B17" s="20"/>
      <c r="C17" s="21"/>
      <c r="D17" s="21"/>
      <c r="E17" s="21"/>
      <c r="F17" s="21"/>
      <c r="G17" s="21"/>
      <c r="H17" s="22"/>
      <c r="I17" s="22"/>
      <c r="J17" s="12" t="str">
        <f aca="false">IF(OR(C17="",D17=""),"",IF(AND(C17="No",D17="Yes"),"L1",IF(AND(C17="No",D17="No"),"L2",IF(AND(C17="Yes",D17="Yes"),"L2","L3"))))</f>
        <v/>
      </c>
      <c r="K17" s="13" t="str">
        <f aca="false">IF(AND(ISNUMBER(H17),ISNUMBER(I17),H17&gt;0),1-1/(I17/H17+1),"")</f>
        <v/>
      </c>
      <c r="L17" s="14" t="str">
        <f aca="false">IF(E17="","",IF(E17="No","Rule / workflow",IF(OR(J17="L1",J17="L2"),"Agentic","Assisted")))</f>
        <v/>
      </c>
      <c r="M17" s="15" t="str">
        <f aca="false">IF(B17="","",5+IF(E17="Yes",1,0)+IF(F17="Yes",1,0)+IF(G17="Yes",1,0)+IF(AND(E17="Yes",OR(J17="L1",J17="L2")),1,0))</f>
        <v/>
      </c>
    </row>
    <row r="18" customFormat="false" ht="21.75" hidden="false" customHeight="true" outlineLevel="0" collapsed="false">
      <c r="B18" s="20"/>
      <c r="C18" s="21"/>
      <c r="D18" s="21"/>
      <c r="E18" s="21"/>
      <c r="F18" s="21"/>
      <c r="G18" s="21"/>
      <c r="H18" s="22"/>
      <c r="I18" s="22"/>
      <c r="J18" s="12" t="str">
        <f aca="false">IF(OR(C18="",D18=""),"",IF(AND(C18="No",D18="Yes"),"L1",IF(AND(C18="No",D18="No"),"L2",IF(AND(C18="Yes",D18="Yes"),"L2","L3"))))</f>
        <v/>
      </c>
      <c r="K18" s="13" t="str">
        <f aca="false">IF(AND(ISNUMBER(H18),ISNUMBER(I18),H18&gt;0),1-1/(I18/H18+1),"")</f>
        <v/>
      </c>
      <c r="L18" s="14" t="str">
        <f aca="false">IF(E18="","",IF(E18="No","Rule / workflow",IF(OR(J18="L1",J18="L2"),"Agentic","Assisted")))</f>
        <v/>
      </c>
      <c r="M18" s="15" t="str">
        <f aca="false">IF(B18="","",5+IF(E18="Yes",1,0)+IF(F18="Yes",1,0)+IF(G18="Yes",1,0)+IF(AND(E18="Yes",OR(J18="L1",J18="L2")),1,0))</f>
        <v/>
      </c>
    </row>
    <row r="19" customFormat="false" ht="21.75" hidden="false" customHeight="true" outlineLevel="0" collapsed="false">
      <c r="B19" s="20"/>
      <c r="C19" s="21"/>
      <c r="D19" s="21"/>
      <c r="E19" s="21"/>
      <c r="F19" s="21"/>
      <c r="G19" s="21"/>
      <c r="H19" s="22"/>
      <c r="I19" s="22"/>
      <c r="J19" s="12" t="str">
        <f aca="false">IF(OR(C19="",D19=""),"",IF(AND(C19="No",D19="Yes"),"L1",IF(AND(C19="No",D19="No"),"L2",IF(AND(C19="Yes",D19="Yes"),"L2","L3"))))</f>
        <v/>
      </c>
      <c r="K19" s="13" t="str">
        <f aca="false">IF(AND(ISNUMBER(H19),ISNUMBER(I19),H19&gt;0),1-1/(I19/H19+1),"")</f>
        <v/>
      </c>
      <c r="L19" s="14" t="str">
        <f aca="false">IF(E19="","",IF(E19="No","Rule / workflow",IF(OR(J19="L1",J19="L2"),"Agentic","Assisted")))</f>
        <v/>
      </c>
      <c r="M19" s="15" t="str">
        <f aca="false">IF(B19="","",5+IF(E19="Yes",1,0)+IF(F19="Yes",1,0)+IF(G19="Yes",1,0)+IF(AND(E19="Yes",OR(J19="L1",J19="L2")),1,0))</f>
        <v/>
      </c>
    </row>
  </sheetData>
  <mergeCells count="2">
    <mergeCell ref="A1:L1"/>
    <mergeCell ref="A2:L2"/>
  </mergeCells>
  <conditionalFormatting sqref="L5:L19">
    <cfRule type="cellIs" priority="2" operator="equal" aboveAverage="0" equalAverage="0" bottom="0" percent="0" rank="0" text="" dxfId="0">
      <formula>"Rule / workflow"</formula>
    </cfRule>
    <cfRule type="cellIs" priority="3" operator="equal" aboveAverage="0" equalAverage="0" bottom="0" percent="0" rank="0" text="" dxfId="1">
      <formula>"Agentic"</formula>
    </cfRule>
    <cfRule type="cellIs" priority="4" operator="equal" aboveAverage="0" equalAverage="0" bottom="0" percent="0" rank="0" text="" dxfId="2">
      <formula>"Assisted"</formula>
    </cfRule>
  </conditionalFormatting>
  <dataValidations count="1">
    <dataValidation allowBlank="true" errorStyle="stop" operator="between" showDropDown="false" showErrorMessage="false" showInputMessage="false" sqref="C5:G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"/>
  </cols>
  <sheetData>
    <row r="1" customFormat="false" ht="24" hidden="false" customHeight="true" outlineLevel="0" collapsed="false">
      <c r="A1" s="1" t="s">
        <v>43</v>
      </c>
      <c r="B1" s="1"/>
      <c r="C1" s="1"/>
      <c r="D1" s="1"/>
    </row>
    <row r="2" customFormat="false" ht="18" hidden="false" customHeight="true" outlineLevel="0" collapsed="false">
      <c r="A2" s="2" t="s">
        <v>44</v>
      </c>
      <c r="B2" s="2"/>
      <c r="C2" s="2"/>
      <c r="D2" s="2"/>
    </row>
    <row r="4" customFormat="false" ht="27.75" hidden="false" customHeight="true" outlineLevel="0" collapsed="false">
      <c r="B4" s="4" t="s">
        <v>45</v>
      </c>
      <c r="C4" s="23" t="n">
        <f aca="false">COUNTIF(Triage!B5:B19,"?*")</f>
        <v>1</v>
      </c>
      <c r="D4" s="24" t="s">
        <v>46</v>
      </c>
    </row>
    <row r="5" customFormat="false" ht="27.75" hidden="false" customHeight="true" outlineLevel="0" collapsed="false">
      <c r="B5" s="4" t="s">
        <v>47</v>
      </c>
      <c r="C5" s="25" t="n">
        <f aca="false">COUNTIF(Triage!L5:L19,"Agentic")</f>
        <v>0</v>
      </c>
      <c r="D5" s="24" t="s">
        <v>48</v>
      </c>
    </row>
    <row r="6" customFormat="false" ht="27.75" hidden="false" customHeight="true" outlineLevel="0" collapsed="false">
      <c r="B6" s="4" t="s">
        <v>49</v>
      </c>
      <c r="C6" s="23" t="n">
        <f aca="false">COUNTIF(Triage!L5:L19,"Assisted")</f>
        <v>0</v>
      </c>
      <c r="D6" s="24" t="s">
        <v>50</v>
      </c>
    </row>
    <row r="7" customFormat="false" ht="27.75" hidden="false" customHeight="true" outlineLevel="0" collapsed="false">
      <c r="B7" s="4" t="s">
        <v>51</v>
      </c>
      <c r="C7" s="26" t="n">
        <f aca="false">COUNTIF(Triage!L5:L19,"Rule / workflow")</f>
        <v>1</v>
      </c>
      <c r="D7" s="24" t="s">
        <v>52</v>
      </c>
    </row>
    <row r="8" customFormat="false" ht="27.75" hidden="false" customHeight="true" outlineLevel="0" collapsed="false">
      <c r="B8" s="4" t="s">
        <v>53</v>
      </c>
      <c r="C8" s="27" t="n">
        <f aca="false">SUM(Triage!M5:M19)</f>
        <v>5</v>
      </c>
      <c r="D8" s="24" t="s">
        <v>54</v>
      </c>
    </row>
    <row r="9" customFormat="false" ht="27.75" hidden="false" customHeight="true" outlineLevel="0" collapsed="false">
      <c r="B9" s="4" t="s">
        <v>55</v>
      </c>
      <c r="C9" s="28" t="n">
        <f aca="false">IFERROR(SUM(Triage!M5:M19)/COUNTIF(Triage!B5:B19,"?*"),"")</f>
        <v>5</v>
      </c>
      <c r="D9" s="24" t="s">
        <v>56</v>
      </c>
    </row>
    <row r="11" customFormat="false" ht="30" hidden="false" customHeight="true" outlineLevel="0" collapsed="false">
      <c r="B11" s="29" t="s">
        <v>57</v>
      </c>
      <c r="C11" s="29"/>
      <c r="D11" s="29"/>
    </row>
  </sheetData>
  <mergeCells count="3">
    <mergeCell ref="A1:D1"/>
    <mergeCell ref="A2:D2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72"/>
    <col collapsed="false" customWidth="true" hidden="false" outlineLevel="0" max="4" min="4" style="0" width="2"/>
  </cols>
  <sheetData>
    <row r="1" customFormat="false" ht="24" hidden="false" customHeight="true" outlineLevel="0" collapsed="false">
      <c r="A1" s="1" t="s">
        <v>58</v>
      </c>
      <c r="B1" s="1"/>
      <c r="C1" s="1"/>
    </row>
    <row r="2" customFormat="false" ht="18" hidden="false" customHeight="true" outlineLevel="0" collapsed="false">
      <c r="A2" s="2" t="s">
        <v>59</v>
      </c>
      <c r="B2" s="2"/>
      <c r="C2" s="2"/>
    </row>
    <row r="4" customFormat="false" ht="54" hidden="false" customHeight="true" outlineLevel="0" collapsed="false">
      <c r="B4" s="30" t="s">
        <v>60</v>
      </c>
      <c r="C4" s="5" t="s">
        <v>61</v>
      </c>
    </row>
    <row r="5" customFormat="false" ht="54" hidden="false" customHeight="true" outlineLevel="0" collapsed="false">
      <c r="B5" s="30" t="s">
        <v>62</v>
      </c>
      <c r="C5" s="5" t="s">
        <v>63</v>
      </c>
    </row>
    <row r="6" customFormat="false" ht="54" hidden="false" customHeight="true" outlineLevel="0" collapsed="false">
      <c r="B6" s="30" t="s">
        <v>64</v>
      </c>
      <c r="C6" s="5" t="s">
        <v>65</v>
      </c>
    </row>
    <row r="7" customFormat="false" ht="54" hidden="false" customHeight="true" outlineLevel="0" collapsed="false">
      <c r="B7" s="30" t="s">
        <v>66</v>
      </c>
      <c r="C7" s="5" t="s">
        <v>67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2026-08-31T11:22:38Z</dcterms:created>
  <dc:creator>openpyxl</dc:creator>
  <dc:description/>
  <dc:language>en-US</dc:language>
  <cp:lastModifiedBy/>
  <dcterms:modified xsi:type="dcterms:W3CDTF">2026-08-31T11:22:38Z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