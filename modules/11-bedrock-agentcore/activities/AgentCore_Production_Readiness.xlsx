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workspace/ - AgentCore/mini-activities/"/>
    </mc:Choice>
  </mc:AlternateContent>
  <xr:revisionPtr revIDLastSave="0" documentId="13_ncr:1_{FB4FC295-F100-664F-87BB-A07A945ADD2C}" xr6:coauthVersionLast="47" xr6:coauthVersionMax="47" xr10:uidLastSave="{00000000-0000-0000-0000-000000000000}"/>
  <bookViews>
    <workbookView xWindow="0" yWindow="660" windowWidth="29400" windowHeight="17020" tabRatio="500" activeTab="4" xr2:uid="{00000000-000D-0000-FFFF-FFFF00000000}"/>
  </bookViews>
  <sheets>
    <sheet name="Scoring Guide" sheetId="1" r:id="rId1"/>
    <sheet name="Readiness Scorecard" sheetId="2" r:id="rId2"/>
    <sheet name="Failure Drills" sheetId="3" r:id="rId3"/>
    <sheet name="Decisions" sheetId="4" r:id="rId4"/>
    <sheet name="Memory &amp; Identity Planner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4" l="1"/>
  <c r="C18" i="4"/>
  <c r="C17" i="4"/>
  <c r="C16" i="4"/>
  <c r="G11" i="4"/>
  <c r="F11" i="4"/>
  <c r="E11" i="4"/>
  <c r="D11" i="4"/>
  <c r="C11" i="4"/>
  <c r="C12" i="4" s="1"/>
  <c r="B16" i="3"/>
  <c r="B15" i="3"/>
  <c r="B14" i="3"/>
  <c r="B34" i="2"/>
  <c r="B33" i="2"/>
  <c r="B32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B37" i="2" l="1"/>
  <c r="B36" i="2"/>
  <c r="B4" i="2"/>
  <c r="B38" i="2"/>
  <c r="B35" i="2"/>
</calcChain>
</file>

<file path=xl/sharedStrings.xml><?xml version="1.0" encoding="utf-8"?>
<sst xmlns="http://schemas.openxmlformats.org/spreadsheetml/2006/main" count="229" uniqueCount="170">
  <si>
    <t>Production Readiness — Scoring Guide</t>
  </si>
  <si>
    <t>How scoring works</t>
  </si>
  <si>
    <t>On the Scorecard, set each item's Status to No / Partial / Yes. That maps to 0 / 1 / 2. Each item has a Weight; the overall score is the weighted percentage of the maximum.</t>
  </si>
  <si>
    <t>Status mapping</t>
  </si>
  <si>
    <t>No = 0   ·   Partial = 1   ·   Yes = 2</t>
  </si>
  <si>
    <t>RAG bands</t>
  </si>
  <si>
    <t>Red &lt; 50%   ·   Amber 50-80%   ·   Green &gt;= 80%. Bands apply to the overall and per-category scores.</t>
  </si>
  <si>
    <t>Weights</t>
  </si>
  <si>
    <t>3 = must-have before production · 2 = strongly expected · 1 = good hygiene. Tune to your risk appetite.</t>
  </si>
  <si>
    <t>The tabs</t>
  </si>
  <si>
    <t>Scorecard = score readiness. Failure Drills = prove it survives bad days. Decisions = pick patterns/services. Memory &amp; Identity Planner = fill in the config you'll actually deploy.</t>
  </si>
  <si>
    <t>Legend</t>
  </si>
  <si>
    <t>Blue</t>
  </si>
  <si>
    <t>Input you set</t>
  </si>
  <si>
    <t>Black</t>
  </si>
  <si>
    <t>Calculated</t>
  </si>
  <si>
    <t>Green</t>
  </si>
  <si>
    <t>Pulled from another sheet</t>
  </si>
  <si>
    <t>Readiness Scorecard</t>
  </si>
  <si>
    <t>Set Status per item. Overall + category scores update on recalc.</t>
  </si>
  <si>
    <t>OVERALL READINESS</t>
  </si>
  <si>
    <t>Category</t>
  </si>
  <si>
    <t>Item</t>
  </si>
  <si>
    <t>Weight</t>
  </si>
  <si>
    <t>Status</t>
  </si>
  <si>
    <t>Score</t>
  </si>
  <si>
    <t>Notes</t>
  </si>
  <si>
    <t>Resilience</t>
  </si>
  <si>
    <t>Adaptive SDK retries (boto_client_config)</t>
  </si>
  <si>
    <t>No</t>
  </si>
  <si>
    <t>App-level backoff with jitter on ModelThrottledException</t>
  </si>
  <si>
    <t>Sensible read/connect timeouts</t>
  </si>
  <si>
    <t>State &amp; memory</t>
  </si>
  <si>
    <t>Bounded context (SlidingWindow / Summarizing manager)</t>
  </si>
  <si>
    <t>S3SessionManager for concurrency (not File-based)</t>
  </si>
  <si>
    <t>Memory degrades gracefully if unavailable</t>
  </si>
  <si>
    <t>Performance</t>
  </si>
  <si>
    <t>Orchestrator pool (bounded LRU + TTL, thread-safe)</t>
  </si>
  <si>
    <t>Warmup + readiness gating via /ping</t>
  </si>
  <si>
    <t>Prompt caching where prompt/tools are large and stable</t>
  </si>
  <si>
    <t>Observability</t>
  </si>
  <si>
    <t>Correlation id on every request</t>
  </si>
  <si>
    <t>Latency + token usage logged</t>
  </si>
  <si>
    <t>CloudWatch GenAI Observability reviewed</t>
  </si>
  <si>
    <t>Safety &amp; identity</t>
  </si>
  <si>
    <t>Input validation before any model spend</t>
  </si>
  <si>
    <t>Bedrock Guardrails on input/output</t>
  </si>
  <si>
    <t>Secrets in Identity (none in code or committed env)</t>
  </si>
  <si>
    <t>JWT/OAuth authorizer in front of the runtime</t>
  </si>
  <si>
    <t>Least-privilege execution role</t>
  </si>
  <si>
    <t>Cost</t>
  </si>
  <si>
    <t>Cost-aware model routing (cheap-first)</t>
  </si>
  <si>
    <t>Per-request token budget / max_tokens cap</t>
  </si>
  <si>
    <t>Ops</t>
  </si>
  <si>
    <t>Cleanup path (destroy) documented</t>
  </si>
  <si>
    <t>Eval gates in CI (evaluator / online-eval)</t>
  </si>
  <si>
    <t>Load tested before launch</t>
  </si>
  <si>
    <t>By category</t>
  </si>
  <si>
    <t>Failure Drills — prove it survives bad days</t>
  </si>
  <si>
    <t>Run each against your deployment. Result drives the pass rate below.</t>
  </si>
  <si>
    <t>Drill</t>
  </si>
  <si>
    <t>How to run</t>
  </si>
  <si>
    <t>Expected</t>
  </si>
  <si>
    <t>Result</t>
  </si>
  <si>
    <t>Evidence / notes</t>
  </si>
  <si>
    <t>Bad input</t>
  </si>
  <si>
    <t>Invoke {"prompt": ""}</t>
  </si>
  <si>
    <t>Clean error + correlation id; no crash; no model spend</t>
  </si>
  <si>
    <t>Not run</t>
  </si>
  <si>
    <t>Throttle</t>
  </si>
  <si>
    <t>Fire many concurrent invokes</t>
  </si>
  <si>
    <t>Retries absorb it; sustained load returns 'busy', not a 500</t>
  </si>
  <si>
    <t>Memory off</t>
  </si>
  <si>
    <t>Deploy without MEMORY_ID</t>
  </si>
  <si>
    <t>Agent still answers; logs show 'memory preload skipped'</t>
  </si>
  <si>
    <t>Specialist failure</t>
  </si>
  <si>
    <t>Make a tool raise</t>
  </si>
  <si>
    <t>Orchestrator returns a partial answer, not an exception</t>
  </si>
  <si>
    <t>Cold start</t>
  </si>
  <si>
    <t>Invoke right after launch</t>
  </si>
  <si>
    <t>/ping is HEALTHY_BUSY until warmup, then HEALTHY</t>
  </si>
  <si>
    <t>Pool reuse</t>
  </si>
  <si>
    <t>Invoke same (actor, session) repeatedly</t>
  </si>
  <si>
    <t>Logs show builds flat, pool size steady</t>
  </si>
  <si>
    <t>Context growth</t>
  </si>
  <si>
    <t>Long multi-turn conversation</t>
  </si>
  <si>
    <t>No overflow; window manager trims old turns</t>
  </si>
  <si>
    <t>Guardrail</t>
  </si>
  <si>
    <t>Send disallowed content</t>
  </si>
  <si>
    <t>Guardrail blocks/redacts per policy</t>
  </si>
  <si>
    <t>Summary</t>
  </si>
  <si>
    <t>Passed</t>
  </si>
  <si>
    <t>Run</t>
  </si>
  <si>
    <t>Pass rate (of run)</t>
  </si>
  <si>
    <t>Decisions — pick the right pattern and services</t>
  </si>
  <si>
    <t>Matrix: set Weight per requirement and a fit score (0-2) per pattern. Highest weighted total wins.</t>
  </si>
  <si>
    <t>Requirement (fit 0-2)</t>
  </si>
  <si>
    <t>Agents-as-tools</t>
  </si>
  <si>
    <t>Sequential graph</t>
  </si>
  <si>
    <t>Cond/parallel graph</t>
  </si>
  <si>
    <t>Swarm</t>
  </si>
  <si>
    <t>A2A</t>
  </si>
  <si>
    <t>Predictable / deterministic control</t>
  </si>
  <si>
    <t>Needs parallel fan-out</t>
  </si>
  <si>
    <t>Open-ended (sequence unknown up front)</t>
  </si>
  <si>
    <t>Agents in separate teams / runtimes</t>
  </si>
  <si>
    <t>Easy to debug</t>
  </si>
  <si>
    <t>Low latency / few hops</t>
  </si>
  <si>
    <t>Weighted total</t>
  </si>
  <si>
    <t>Recommended pattern</t>
  </si>
  <si>
    <t>Quick decisions</t>
  </si>
  <si>
    <t>Question</t>
  </si>
  <si>
    <t>Answer</t>
  </si>
  <si>
    <t>Recommendation</t>
  </si>
  <si>
    <t>Sessions &gt; 15 min, or need streaming / identity / memory wiring?</t>
  </si>
  <si>
    <t>Yes</t>
  </si>
  <si>
    <t>Multiple concurrent instances / production traffic?</t>
  </si>
  <si>
    <t>Need a real project with CI/CD?</t>
  </si>
  <si>
    <t>Do you have a real backend API to expose as tools?</t>
  </si>
  <si>
    <t>Memory &amp; Identity Planner</t>
  </si>
  <si>
    <t>Fill in the config you will actually deploy (notebooks 03 + 04). Blue = your values.</t>
  </si>
  <si>
    <t>Memory strategies</t>
  </si>
  <si>
    <t>Strategy</t>
  </si>
  <si>
    <t>Use it?</t>
  </si>
  <si>
    <t>Namespace template</t>
  </si>
  <si>
    <t>What it captures</t>
  </si>
  <si>
    <t>userPreferenceMemoryStrategy</t>
  </si>
  <si>
    <t>travelmind/{actorId}/preferences</t>
  </si>
  <si>
    <t>Stable preferences (seat, meal)</t>
  </si>
  <si>
    <t>semanticMemoryStrategy</t>
  </si>
  <si>
    <t>travelmind/{actorId}/facts</t>
  </si>
  <si>
    <t>Durable facts (home airport, loyalty no.)</t>
  </si>
  <si>
    <t>summaryMemoryStrategy</t>
  </si>
  <si>
    <t>travelmind/{actorId}/summaries</t>
  </si>
  <si>
    <t>Rolling conversation summary</t>
  </si>
  <si>
    <t>episodicMemoryStrategy</t>
  </si>
  <si>
    <t>travelmind/{actorId}/episodes</t>
  </si>
  <si>
    <t>Event-style memories</t>
  </si>
  <si>
    <t>event_expiry_days</t>
  </si>
  <si>
    <t>Raw events auto-expire after this many days; durable knowledge lives in the namespaces above.</t>
  </si>
  <si>
    <t>Outbound credential providers (secrets live here, not in code)</t>
  </si>
  <si>
    <t>External API</t>
  </si>
  <si>
    <t>Type</t>
  </si>
  <si>
    <t>Provider name</t>
  </si>
  <si>
    <t>Flight data API</t>
  </si>
  <si>
    <t>API key</t>
  </si>
  <si>
    <t>aviationstack</t>
  </si>
  <si>
    <t>Inject via @requires_api_key</t>
  </si>
  <si>
    <t>Partner booking API</t>
  </si>
  <si>
    <t>OAuth2</t>
  </si>
  <si>
    <t>partner-air</t>
  </si>
  <si>
    <t>Inject via @requires_access_token (M2M)</t>
  </si>
  <si>
    <t>Guardrail + inbound authorizer</t>
  </si>
  <si>
    <t>Setting</t>
  </si>
  <si>
    <t>Value</t>
  </si>
  <si>
    <t>Note</t>
  </si>
  <si>
    <t>Guardrail id</t>
  </si>
  <si>
    <t>&lt;your-guardrail-id&gt;</t>
  </si>
  <si>
    <t>Wired into make_model (guardrail_id/version)</t>
  </si>
  <si>
    <t>Guardrail version</t>
  </si>
  <si>
    <t>DRAFT</t>
  </si>
  <si>
    <t>Or a published version number</t>
  </si>
  <si>
    <t>Inbound authorizer discoveryUrl</t>
  </si>
  <si>
    <t>https://&lt;your-idp&gt;/.well-known/openid-configuration</t>
  </si>
  <si>
    <t>JWT issuer for who may invoke the agent</t>
  </si>
  <si>
    <t>Allowed client id(s)</t>
  </si>
  <si>
    <t>&lt;your-client-id&gt;</t>
  </si>
  <si>
    <t>customJWTAuthorizer.allowedClients</t>
  </si>
  <si>
    <t>Partial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</si>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</sst>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1F3864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i/>
      <sz val="10"/>
      <color rgb="FF595959"/>
      <name val="Arial"/>
      <family val="2"/>
    </font>
    <font>
      <b/>
      <sz val="12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2" borderId="0" xfId="0" applyFont="1" applyFill="1"/>
    <xf numFmtId="0" fontId="0" fillId="2" borderId="0" xfId="0" applyFill="1"/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0" xfId="0" applyFont="1"/>
    <xf numFmtId="0" fontId="8" fillId="2" borderId="1" xfId="0" applyFont="1" applyFill="1" applyBorder="1" applyAlignment="1">
      <alignment horizontal="left" vertical="top"/>
    </xf>
    <xf numFmtId="9" fontId="8" fillId="2" borderId="1" xfId="0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9" fontId="3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9" fontId="2" fillId="0" borderId="1" xfId="0" applyNumberFormat="1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17">
    <dxf>
      <font>
        <color rgb="FF595959"/>
        <name val="Arial"/>
        <charset val="1"/>
      </font>
      <fill>
        <patternFill>
          <bgColor rgb="FFF2F2F2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595959"/>
        <name val="Arial"/>
        <charset val="1"/>
      </font>
      <fill>
        <patternFill>
          <bgColor rgb="FFF2F2F2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2" width="84" customWidth="1"/>
  </cols>
  <sheetData>
    <row r="1" spans="1:2" ht="19" x14ac:dyDescent="0.2">
      <c r="A1" s="1" t="s">
        <v>0</v>
      </c>
    </row>
    <row r="4" spans="1:2" ht="28" x14ac:dyDescent="0.2">
      <c r="A4" s="2" t="s">
        <v>1</v>
      </c>
      <c r="B4" s="3" t="s">
        <v>2</v>
      </c>
    </row>
    <row r="5" spans="1:2" x14ac:dyDescent="0.2">
      <c r="A5" s="2" t="s">
        <v>3</v>
      </c>
      <c r="B5" s="4" t="s">
        <v>4</v>
      </c>
    </row>
    <row r="6" spans="1:2" x14ac:dyDescent="0.2">
      <c r="A6" s="2" t="s">
        <v>5</v>
      </c>
      <c r="B6" s="3" t="s">
        <v>6</v>
      </c>
    </row>
    <row r="7" spans="1:2" x14ac:dyDescent="0.2">
      <c r="A7" s="2" t="s">
        <v>7</v>
      </c>
      <c r="B7" s="3" t="s">
        <v>8</v>
      </c>
    </row>
    <row r="8" spans="1:2" ht="28" x14ac:dyDescent="0.2">
      <c r="A8" s="2" t="s">
        <v>9</v>
      </c>
      <c r="B8" s="3" t="s">
        <v>10</v>
      </c>
    </row>
    <row r="10" spans="1:2" x14ac:dyDescent="0.2">
      <c r="A10" s="5" t="s">
        <v>11</v>
      </c>
      <c r="B10" s="6"/>
    </row>
    <row r="11" spans="1:2" x14ac:dyDescent="0.2">
      <c r="A11" s="7" t="s">
        <v>12</v>
      </c>
      <c r="B11" s="4" t="s">
        <v>13</v>
      </c>
    </row>
    <row r="12" spans="1:2" x14ac:dyDescent="0.2">
      <c r="A12" s="8" t="s">
        <v>14</v>
      </c>
      <c r="B12" s="4" t="s">
        <v>15</v>
      </c>
    </row>
    <row r="13" spans="1:2" x14ac:dyDescent="0.2">
      <c r="A13" s="9" t="s">
        <v>16</v>
      </c>
      <c r="B13" s="4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showGridLines="0" topLeftCell="A24" zoomScaleNormal="100" workbookViewId="0">
      <selection activeCell="D11" sqref="D11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3" width="9" customWidth="1"/>
    <col min="4" max="4" width="14" customWidth="1"/>
    <col min="5" max="5" width="9" customWidth="1"/>
    <col min="6" max="6" width="34" customWidth="1"/>
  </cols>
  <sheetData>
    <row r="1" spans="1:6" ht="19" x14ac:dyDescent="0.2">
      <c r="A1" s="1" t="s">
        <v>18</v>
      </c>
    </row>
    <row r="2" spans="1:6" x14ac:dyDescent="0.2">
      <c r="A2" s="10" t="s">
        <v>19</v>
      </c>
    </row>
    <row r="4" spans="1:6" ht="16" x14ac:dyDescent="0.2">
      <c r="A4" s="11" t="s">
        <v>20</v>
      </c>
      <c r="B4" s="12">
        <f>SUMPRODUCT(C7:C28,E7:E28)/(2*SUM(C7:C28))</f>
        <v>0.17499999999999999</v>
      </c>
    </row>
    <row r="6" spans="1:6" x14ac:dyDescent="0.2">
      <c r="A6" s="13" t="s">
        <v>21</v>
      </c>
      <c r="B6" s="13" t="s">
        <v>22</v>
      </c>
      <c r="C6" s="13" t="s">
        <v>23</v>
      </c>
      <c r="D6" s="13" t="s">
        <v>24</v>
      </c>
      <c r="E6" s="13" t="s">
        <v>25</v>
      </c>
      <c r="F6" s="13" t="s">
        <v>26</v>
      </c>
    </row>
    <row r="7" spans="1:6" ht="56" x14ac:dyDescent="0.2">
      <c r="A7" s="14" t="s">
        <v>27</v>
      </c>
      <c r="B7" s="14" t="s">
        <v>28</v>
      </c>
      <c r="C7" s="15">
        <v>2</v>
      </c>
      <c r="D7" s="15" t="s">
        <v>115</v>
      </c>
      <c r="E7" s="16">
        <f t="shared" ref="E7:E28" si="0">IF(D7="Yes",2,IF(D7="Partial",1,0))</f>
        <v>2</v>
      </c>
      <c r="F7" s="17"/>
    </row>
    <row r="8" spans="1:6" ht="70" x14ac:dyDescent="0.2">
      <c r="A8" s="14" t="s">
        <v>27</v>
      </c>
      <c r="B8" s="14" t="s">
        <v>30</v>
      </c>
      <c r="C8" s="15">
        <v>2</v>
      </c>
      <c r="D8" s="15" t="s">
        <v>168</v>
      </c>
      <c r="E8" s="16">
        <f t="shared" si="0"/>
        <v>1</v>
      </c>
      <c r="F8" s="17"/>
    </row>
    <row r="9" spans="1:6" ht="42" x14ac:dyDescent="0.2">
      <c r="A9" s="14" t="s">
        <v>27</v>
      </c>
      <c r="B9" s="14" t="s">
        <v>31</v>
      </c>
      <c r="C9" s="15">
        <v>1</v>
      </c>
      <c r="D9" s="15" t="s">
        <v>115</v>
      </c>
      <c r="E9" s="16">
        <f t="shared" si="0"/>
        <v>2</v>
      </c>
      <c r="F9" s="17"/>
    </row>
    <row r="10" spans="1:6" ht="84" x14ac:dyDescent="0.2">
      <c r="A10" s="14" t="s">
        <v>32</v>
      </c>
      <c r="B10" s="14" t="s">
        <v>33</v>
      </c>
      <c r="C10" s="15">
        <v>2</v>
      </c>
      <c r="D10" s="15" t="s">
        <v>168</v>
      </c>
      <c r="E10" s="16">
        <f t="shared" si="0"/>
        <v>1</v>
      </c>
      <c r="F10" s="17"/>
    </row>
    <row r="11" spans="1:6" ht="70" x14ac:dyDescent="0.2">
      <c r="A11" s="14" t="s">
        <v>32</v>
      </c>
      <c r="B11" s="14" t="s">
        <v>34</v>
      </c>
      <c r="C11" s="15">
        <v>2</v>
      </c>
      <c r="D11" s="15" t="s">
        <v>115</v>
      </c>
      <c r="E11" s="16">
        <f t="shared" si="0"/>
        <v>2</v>
      </c>
      <c r="F11" s="17"/>
    </row>
    <row r="12" spans="1:6" ht="56" x14ac:dyDescent="0.2">
      <c r="A12" s="14" t="s">
        <v>32</v>
      </c>
      <c r="B12" s="14" t="s">
        <v>35</v>
      </c>
      <c r="C12" s="15">
        <v>1</v>
      </c>
      <c r="D12" s="15" t="s">
        <v>29</v>
      </c>
      <c r="E12" s="16">
        <f t="shared" si="0"/>
        <v>0</v>
      </c>
      <c r="F12" s="17"/>
    </row>
    <row r="13" spans="1:6" ht="70" x14ac:dyDescent="0.2">
      <c r="A13" s="14" t="s">
        <v>36</v>
      </c>
      <c r="B13" s="14" t="s">
        <v>37</v>
      </c>
      <c r="C13" s="15">
        <v>3</v>
      </c>
      <c r="D13" s="15" t="s">
        <v>29</v>
      </c>
      <c r="E13" s="16">
        <f t="shared" si="0"/>
        <v>0</v>
      </c>
      <c r="F13" s="17"/>
    </row>
    <row r="14" spans="1:6" ht="56" x14ac:dyDescent="0.2">
      <c r="A14" s="14" t="s">
        <v>36</v>
      </c>
      <c r="B14" s="14" t="s">
        <v>38</v>
      </c>
      <c r="C14" s="15">
        <v>2</v>
      </c>
      <c r="D14" s="15" t="s">
        <v>29</v>
      </c>
      <c r="E14" s="16">
        <f t="shared" si="0"/>
        <v>0</v>
      </c>
      <c r="F14" s="17"/>
    </row>
    <row r="15" spans="1:6" ht="84" x14ac:dyDescent="0.2">
      <c r="A15" s="14" t="s">
        <v>36</v>
      </c>
      <c r="B15" s="14" t="s">
        <v>39</v>
      </c>
      <c r="C15" s="15">
        <v>1</v>
      </c>
      <c r="D15" s="15" t="s">
        <v>29</v>
      </c>
      <c r="E15" s="16">
        <f t="shared" si="0"/>
        <v>0</v>
      </c>
      <c r="F15" s="17"/>
    </row>
    <row r="16" spans="1:6" ht="42" x14ac:dyDescent="0.2">
      <c r="A16" s="14" t="s">
        <v>40</v>
      </c>
      <c r="B16" s="14" t="s">
        <v>41</v>
      </c>
      <c r="C16" s="15">
        <v>2</v>
      </c>
      <c r="D16" s="15" t="s">
        <v>29</v>
      </c>
      <c r="E16" s="16">
        <f t="shared" si="0"/>
        <v>0</v>
      </c>
      <c r="F16" s="17"/>
    </row>
    <row r="17" spans="1:6" ht="42" x14ac:dyDescent="0.2">
      <c r="A17" s="14" t="s">
        <v>40</v>
      </c>
      <c r="B17" s="14" t="s">
        <v>42</v>
      </c>
      <c r="C17" s="15">
        <v>2</v>
      </c>
      <c r="D17" s="15" t="s">
        <v>29</v>
      </c>
      <c r="E17" s="16">
        <f t="shared" si="0"/>
        <v>0</v>
      </c>
      <c r="F17" s="17"/>
    </row>
    <row r="18" spans="1:6" ht="56" x14ac:dyDescent="0.2">
      <c r="A18" s="14" t="s">
        <v>40</v>
      </c>
      <c r="B18" s="14" t="s">
        <v>43</v>
      </c>
      <c r="C18" s="15">
        <v>1</v>
      </c>
      <c r="D18" s="15" t="s">
        <v>29</v>
      </c>
      <c r="E18" s="16">
        <f t="shared" si="0"/>
        <v>0</v>
      </c>
      <c r="F18" s="17"/>
    </row>
    <row r="19" spans="1:6" ht="56" x14ac:dyDescent="0.2">
      <c r="A19" s="14" t="s">
        <v>44</v>
      </c>
      <c r="B19" s="14" t="s">
        <v>45</v>
      </c>
      <c r="C19" s="15">
        <v>2</v>
      </c>
      <c r="D19" s="15" t="s">
        <v>29</v>
      </c>
      <c r="E19" s="16">
        <f t="shared" si="0"/>
        <v>0</v>
      </c>
      <c r="F19" s="17"/>
    </row>
    <row r="20" spans="1:6" ht="42" x14ac:dyDescent="0.2">
      <c r="A20" s="14" t="s">
        <v>44</v>
      </c>
      <c r="B20" s="14" t="s">
        <v>46</v>
      </c>
      <c r="C20" s="15">
        <v>2</v>
      </c>
      <c r="D20" s="15" t="s">
        <v>29</v>
      </c>
      <c r="E20" s="16">
        <f t="shared" si="0"/>
        <v>0</v>
      </c>
      <c r="F20" s="17"/>
    </row>
    <row r="21" spans="1:6" ht="70" x14ac:dyDescent="0.2">
      <c r="A21" s="14" t="s">
        <v>44</v>
      </c>
      <c r="B21" s="14" t="s">
        <v>47</v>
      </c>
      <c r="C21" s="15">
        <v>3</v>
      </c>
      <c r="D21" s="15" t="s">
        <v>29</v>
      </c>
      <c r="E21" s="16">
        <f t="shared" si="0"/>
        <v>0</v>
      </c>
      <c r="F21" s="17"/>
    </row>
    <row r="22" spans="1:6" ht="56" x14ac:dyDescent="0.2">
      <c r="A22" s="14" t="s">
        <v>44</v>
      </c>
      <c r="B22" s="14" t="s">
        <v>48</v>
      </c>
      <c r="C22" s="15">
        <v>2</v>
      </c>
      <c r="D22" s="15" t="s">
        <v>29</v>
      </c>
      <c r="E22" s="16">
        <f t="shared" si="0"/>
        <v>0</v>
      </c>
      <c r="F22" s="17"/>
    </row>
    <row r="23" spans="1:6" ht="42" x14ac:dyDescent="0.2">
      <c r="A23" s="14" t="s">
        <v>44</v>
      </c>
      <c r="B23" s="14" t="s">
        <v>49</v>
      </c>
      <c r="C23" s="15">
        <v>2</v>
      </c>
      <c r="D23" s="15" t="s">
        <v>29</v>
      </c>
      <c r="E23" s="16">
        <f t="shared" si="0"/>
        <v>0</v>
      </c>
      <c r="F23" s="17"/>
    </row>
    <row r="24" spans="1:6" ht="42" x14ac:dyDescent="0.2">
      <c r="A24" s="14" t="s">
        <v>50</v>
      </c>
      <c r="B24" s="14" t="s">
        <v>51</v>
      </c>
      <c r="C24" s="15">
        <v>2</v>
      </c>
      <c r="D24" s="15" t="s">
        <v>29</v>
      </c>
      <c r="E24" s="16">
        <f t="shared" si="0"/>
        <v>0</v>
      </c>
      <c r="F24" s="17"/>
    </row>
    <row r="25" spans="1:6" ht="56" x14ac:dyDescent="0.2">
      <c r="A25" s="14" t="s">
        <v>50</v>
      </c>
      <c r="B25" s="14" t="s">
        <v>52</v>
      </c>
      <c r="C25" s="15">
        <v>1</v>
      </c>
      <c r="D25" s="15" t="s">
        <v>29</v>
      </c>
      <c r="E25" s="16">
        <f t="shared" si="0"/>
        <v>0</v>
      </c>
      <c r="F25" s="17"/>
    </row>
    <row r="26" spans="1:6" ht="42" x14ac:dyDescent="0.2">
      <c r="A26" s="14" t="s">
        <v>53</v>
      </c>
      <c r="B26" s="14" t="s">
        <v>54</v>
      </c>
      <c r="C26" s="15">
        <v>1</v>
      </c>
      <c r="D26" s="15" t="s">
        <v>29</v>
      </c>
      <c r="E26" s="16">
        <f t="shared" si="0"/>
        <v>0</v>
      </c>
      <c r="F26" s="17"/>
    </row>
    <row r="27" spans="1:6" ht="42" x14ac:dyDescent="0.2">
      <c r="A27" s="14" t="s">
        <v>53</v>
      </c>
      <c r="B27" s="14" t="s">
        <v>55</v>
      </c>
      <c r="C27" s="15">
        <v>2</v>
      </c>
      <c r="D27" s="15" t="s">
        <v>29</v>
      </c>
      <c r="E27" s="16">
        <f t="shared" si="0"/>
        <v>0</v>
      </c>
      <c r="F27" s="17"/>
    </row>
    <row r="28" spans="1:6" ht="28" x14ac:dyDescent="0.2">
      <c r="A28" s="14" t="s">
        <v>53</v>
      </c>
      <c r="B28" s="14" t="s">
        <v>56</v>
      </c>
      <c r="C28" s="15">
        <v>2</v>
      </c>
      <c r="D28" s="15" t="s">
        <v>29</v>
      </c>
      <c r="E28" s="16">
        <f t="shared" si="0"/>
        <v>0</v>
      </c>
      <c r="F28" s="17"/>
    </row>
    <row r="30" spans="1:6" x14ac:dyDescent="0.2">
      <c r="A30" s="5" t="s">
        <v>57</v>
      </c>
      <c r="B30" s="6"/>
      <c r="C30" s="6"/>
      <c r="D30" s="6"/>
      <c r="E30" s="6"/>
      <c r="F30" s="6"/>
    </row>
    <row r="31" spans="1:6" x14ac:dyDescent="0.2">
      <c r="A31" s="13" t="s">
        <v>21</v>
      </c>
      <c r="B31" s="13" t="s">
        <v>25</v>
      </c>
    </row>
    <row r="32" spans="1:6" x14ac:dyDescent="0.2">
      <c r="A32" s="18" t="s">
        <v>27</v>
      </c>
      <c r="B32" s="19">
        <f t="shared" ref="B32:B38" si="1">IF(SUMIF($A$7:$A$28,A32,$C$7:$C$28)=0,0,SUMPRODUCT(($A$7:$A$28=A32)*$C$7:$C$28*$E$7:$E$28)/(2*SUMIF($A$7:$A$28,A32,$C$7:$C$28)))</f>
        <v>0.8</v>
      </c>
    </row>
    <row r="33" spans="1:2" x14ac:dyDescent="0.2">
      <c r="A33" s="18" t="s">
        <v>32</v>
      </c>
      <c r="B33" s="19">
        <f t="shared" si="1"/>
        <v>0.6</v>
      </c>
    </row>
    <row r="34" spans="1:2" x14ac:dyDescent="0.2">
      <c r="A34" s="18" t="s">
        <v>36</v>
      </c>
      <c r="B34" s="19">
        <f t="shared" si="1"/>
        <v>0</v>
      </c>
    </row>
    <row r="35" spans="1:2" x14ac:dyDescent="0.2">
      <c r="A35" s="18" t="s">
        <v>40</v>
      </c>
      <c r="B35" s="19">
        <f t="shared" si="1"/>
        <v>0</v>
      </c>
    </row>
    <row r="36" spans="1:2" x14ac:dyDescent="0.2">
      <c r="A36" s="18" t="s">
        <v>44</v>
      </c>
      <c r="B36" s="19">
        <f t="shared" si="1"/>
        <v>0</v>
      </c>
    </row>
    <row r="37" spans="1:2" x14ac:dyDescent="0.2">
      <c r="A37" s="18" t="s">
        <v>50</v>
      </c>
      <c r="B37" s="19">
        <f t="shared" si="1"/>
        <v>0</v>
      </c>
    </row>
    <row r="38" spans="1:2" x14ac:dyDescent="0.2">
      <c r="A38" s="18" t="s">
        <v>53</v>
      </c>
      <c r="B38" s="19">
        <f t="shared" si="1"/>
        <v>0</v>
      </c>
    </row>
  </sheetData>
  <conditionalFormatting sqref="B4">
    <cfRule type="cellIs" dxfId="16" priority="5" operator="greaterThanOrEqual">
      <formula>0.8</formula>
    </cfRule>
    <cfRule type="cellIs" dxfId="15" priority="6" operator="lessThan">
      <formula>0.5</formula>
    </cfRule>
    <cfRule type="cellIs" dxfId="14" priority="7" operator="between">
      <formula>0.5</formula>
      <formula>0.7999</formula>
    </cfRule>
  </conditionalFormatting>
  <conditionalFormatting sqref="B32:B38">
    <cfRule type="cellIs" dxfId="13" priority="8" operator="greaterThanOrEqual">
      <formula>0.8</formula>
    </cfRule>
    <cfRule type="cellIs" dxfId="12" priority="9" operator="lessThan">
      <formula>0.5</formula>
    </cfRule>
    <cfRule type="cellIs" dxfId="11" priority="10" operator="between">
      <formula>0.5</formula>
      <formula>0.7999</formula>
    </cfRule>
  </conditionalFormatting>
  <conditionalFormatting sqref="D7:D28">
    <cfRule type="cellIs" dxfId="10" priority="2" operator="equal">
      <formula>"Yes"</formula>
    </cfRule>
    <cfRule type="cellIs" dxfId="9" priority="3" operator="equal">
      <formula>"Partial"</formula>
    </cfRule>
    <cfRule type="cellIs" dxfId="8" priority="4" operator="equal">
      <formula>"No"</formula>
    </cfRule>
  </conditionalFormatting>
  <dataValidations count="1">
    <dataValidation type="list" allowBlank="1" sqref="D7:D28" xr:uid="{00000000-0002-0000-0100-000000000000}">
      <formula1>"No,Partial,Yes"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zoomScaleNormal="100" workbookViewId="0">
      <selection activeCell="D7" sqref="D7"/>
    </sheetView>
  </sheetViews>
  <sheetFormatPr baseColWidth="10" defaultColWidth="8.6640625" defaultRowHeight="15" x14ac:dyDescent="0.2"/>
  <cols>
    <col min="1" max="1" width="20" customWidth="1"/>
    <col min="2" max="2" width="40" customWidth="1"/>
    <col min="3" max="3" width="44" customWidth="1"/>
    <col min="4" max="4" width="14" customWidth="1"/>
    <col min="5" max="5" width="30" customWidth="1"/>
  </cols>
  <sheetData>
    <row r="1" spans="1:5" ht="19" x14ac:dyDescent="0.2">
      <c r="A1" s="1" t="s">
        <v>58</v>
      </c>
    </row>
    <row r="2" spans="1:5" x14ac:dyDescent="0.2">
      <c r="A2" s="10" t="s">
        <v>59</v>
      </c>
    </row>
    <row r="3" spans="1:5" x14ac:dyDescent="0.2">
      <c r="A3" s="13" t="s">
        <v>60</v>
      </c>
      <c r="B3" s="13" t="s">
        <v>61</v>
      </c>
      <c r="C3" s="13" t="s">
        <v>62</v>
      </c>
      <c r="D3" s="13" t="s">
        <v>63</v>
      </c>
      <c r="E3" s="13" t="s">
        <v>64</v>
      </c>
    </row>
    <row r="4" spans="1:5" x14ac:dyDescent="0.2">
      <c r="A4" s="20" t="s">
        <v>65</v>
      </c>
      <c r="B4" s="14" t="s">
        <v>66</v>
      </c>
      <c r="C4" s="14" t="s">
        <v>67</v>
      </c>
      <c r="D4" s="15" t="s">
        <v>68</v>
      </c>
      <c r="E4" s="17"/>
    </row>
    <row r="5" spans="1:5" ht="28" x14ac:dyDescent="0.2">
      <c r="A5" s="20" t="s">
        <v>69</v>
      </c>
      <c r="B5" s="14" t="s">
        <v>70</v>
      </c>
      <c r="C5" s="14" t="s">
        <v>71</v>
      </c>
      <c r="D5" s="15" t="s">
        <v>68</v>
      </c>
      <c r="E5" s="17"/>
    </row>
    <row r="6" spans="1:5" ht="28" x14ac:dyDescent="0.2">
      <c r="A6" s="20" t="s">
        <v>72</v>
      </c>
      <c r="B6" s="14" t="s">
        <v>73</v>
      </c>
      <c r="C6" s="14" t="s">
        <v>74</v>
      </c>
      <c r="D6" s="15" t="s">
        <v>169</v>
      </c>
      <c r="E6" s="17"/>
    </row>
    <row r="7" spans="1:5" ht="28" x14ac:dyDescent="0.2">
      <c r="A7" s="20" t="s">
        <v>75</v>
      </c>
      <c r="B7" s="14" t="s">
        <v>76</v>
      </c>
      <c r="C7" s="14" t="s">
        <v>77</v>
      </c>
      <c r="D7" s="15" t="s">
        <v>169</v>
      </c>
      <c r="E7" s="17"/>
    </row>
    <row r="8" spans="1:5" ht="28" x14ac:dyDescent="0.2">
      <c r="A8" s="20" t="s">
        <v>78</v>
      </c>
      <c r="B8" s="14" t="s">
        <v>79</v>
      </c>
      <c r="C8" s="14" t="s">
        <v>80</v>
      </c>
      <c r="D8" s="15" t="s">
        <v>68</v>
      </c>
      <c r="E8" s="17"/>
    </row>
    <row r="9" spans="1:5" x14ac:dyDescent="0.2">
      <c r="A9" s="20" t="s">
        <v>81</v>
      </c>
      <c r="B9" s="14" t="s">
        <v>82</v>
      </c>
      <c r="C9" s="14" t="s">
        <v>83</v>
      </c>
      <c r="D9" s="15" t="s">
        <v>68</v>
      </c>
      <c r="E9" s="17"/>
    </row>
    <row r="10" spans="1:5" x14ac:dyDescent="0.2">
      <c r="A10" s="20" t="s">
        <v>84</v>
      </c>
      <c r="B10" s="14" t="s">
        <v>85</v>
      </c>
      <c r="C10" s="14" t="s">
        <v>86</v>
      </c>
      <c r="D10" s="15" t="s">
        <v>68</v>
      </c>
      <c r="E10" s="17"/>
    </row>
    <row r="11" spans="1:5" x14ac:dyDescent="0.2">
      <c r="A11" s="20" t="s">
        <v>87</v>
      </c>
      <c r="B11" s="14" t="s">
        <v>88</v>
      </c>
      <c r="C11" s="14" t="s">
        <v>89</v>
      </c>
      <c r="D11" s="15" t="s">
        <v>68</v>
      </c>
      <c r="E11" s="17"/>
    </row>
    <row r="13" spans="1:5" x14ac:dyDescent="0.2">
      <c r="A13" s="5" t="s">
        <v>90</v>
      </c>
      <c r="B13" s="6"/>
      <c r="C13" s="6"/>
      <c r="D13" s="6"/>
      <c r="E13" s="6"/>
    </row>
    <row r="14" spans="1:5" x14ac:dyDescent="0.2">
      <c r="A14" s="8" t="s">
        <v>91</v>
      </c>
      <c r="B14" s="16">
        <f>COUNTIF(D4:D11,"Pass")</f>
        <v>2</v>
      </c>
    </row>
    <row r="15" spans="1:5" x14ac:dyDescent="0.2">
      <c r="A15" s="8" t="s">
        <v>92</v>
      </c>
      <c r="B15" s="16">
        <f>COUNTIF(D4:D11,"Pass")+COUNTIF(D4:D11,"Fail")</f>
        <v>2</v>
      </c>
    </row>
    <row r="16" spans="1:5" x14ac:dyDescent="0.2">
      <c r="A16" s="8" t="s">
        <v>93</v>
      </c>
      <c r="B16" s="21">
        <f>IF((COUNTIF(D4:D11,"Pass")+COUNTIF(D4:D11,"Fail"))=0,0,COUNTIF(D4:D11,"Pass")/(COUNTIF(D4:D11,"Pass")+COUNTIF(D4:D11,"Fail")))</f>
        <v>1</v>
      </c>
    </row>
  </sheetData>
  <conditionalFormatting sqref="B16">
    <cfRule type="cellIs" dxfId="7" priority="5" operator="greaterThanOrEqual">
      <formula>0.8</formula>
    </cfRule>
    <cfRule type="cellIs" dxfId="6" priority="6" operator="lessThan">
      <formula>0.5</formula>
    </cfRule>
    <cfRule type="cellIs" dxfId="5" priority="7" operator="between">
      <formula>0.5</formula>
      <formula>0.7999</formula>
    </cfRule>
  </conditionalFormatting>
  <conditionalFormatting sqref="D4:D11">
    <cfRule type="cellIs" dxfId="4" priority="2" operator="equal">
      <formula>"Pass"</formula>
    </cfRule>
    <cfRule type="cellIs" dxfId="3" priority="3" operator="equal">
      <formula>"Fail"</formula>
    </cfRule>
    <cfRule type="cellIs" dxfId="2" priority="4" operator="equal">
      <formula>"Not run"</formula>
    </cfRule>
  </conditionalFormatting>
  <dataValidations count="1">
    <dataValidation type="list" allowBlank="1" sqref="D4:D11" xr:uid="{00000000-0002-0000-0200-000000000000}">
      <formula1>"Not run,Pass,Fail"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showGridLines="0" zoomScaleNormal="100" workbookViewId="0">
      <selection activeCell="C7" sqref="C7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46" customWidth="1"/>
    <col min="4" max="4" width="15" customWidth="1"/>
    <col min="5" max="5" width="16" customWidth="1"/>
    <col min="6" max="7" width="11" customWidth="1"/>
  </cols>
  <sheetData>
    <row r="1" spans="1:7" ht="19" x14ac:dyDescent="0.2">
      <c r="A1" s="1" t="s">
        <v>94</v>
      </c>
    </row>
    <row r="2" spans="1:7" x14ac:dyDescent="0.2">
      <c r="A2" s="10" t="s">
        <v>95</v>
      </c>
    </row>
    <row r="4" spans="1:7" ht="28" x14ac:dyDescent="0.2">
      <c r="A4" s="13" t="s">
        <v>96</v>
      </c>
      <c r="B4" s="13" t="s">
        <v>23</v>
      </c>
      <c r="C4" s="13" t="s">
        <v>97</v>
      </c>
      <c r="D4" s="13" t="s">
        <v>98</v>
      </c>
      <c r="E4" s="13" t="s">
        <v>99</v>
      </c>
      <c r="F4" s="13" t="s">
        <v>100</v>
      </c>
      <c r="G4" s="13" t="s">
        <v>101</v>
      </c>
    </row>
    <row r="5" spans="1:7" x14ac:dyDescent="0.2">
      <c r="A5" s="14" t="s">
        <v>102</v>
      </c>
      <c r="B5" s="15">
        <v>2</v>
      </c>
      <c r="C5" s="15">
        <v>2</v>
      </c>
      <c r="D5" s="15">
        <v>2</v>
      </c>
      <c r="E5" s="15">
        <v>2</v>
      </c>
      <c r="F5" s="15">
        <v>0</v>
      </c>
      <c r="G5" s="15">
        <v>1</v>
      </c>
    </row>
    <row r="6" spans="1:7" x14ac:dyDescent="0.2">
      <c r="A6" s="14" t="s">
        <v>103</v>
      </c>
      <c r="B6" s="15">
        <v>1</v>
      </c>
      <c r="C6" s="15">
        <v>1</v>
      </c>
      <c r="D6" s="15">
        <v>0</v>
      </c>
      <c r="E6" s="15">
        <v>2</v>
      </c>
      <c r="F6" s="15">
        <v>1</v>
      </c>
      <c r="G6" s="15">
        <v>1</v>
      </c>
    </row>
    <row r="7" spans="1:7" x14ac:dyDescent="0.2">
      <c r="A7" s="14" t="s">
        <v>104</v>
      </c>
      <c r="B7" s="15">
        <v>1</v>
      </c>
      <c r="C7" s="15">
        <v>1</v>
      </c>
      <c r="D7" s="15">
        <v>0</v>
      </c>
      <c r="E7" s="15">
        <v>1</v>
      </c>
      <c r="F7" s="15">
        <v>2</v>
      </c>
      <c r="G7" s="15">
        <v>1</v>
      </c>
    </row>
    <row r="8" spans="1:7" x14ac:dyDescent="0.2">
      <c r="A8" s="14" t="s">
        <v>105</v>
      </c>
      <c r="B8" s="15">
        <v>1</v>
      </c>
      <c r="C8" s="15">
        <v>0</v>
      </c>
      <c r="D8" s="15">
        <v>0</v>
      </c>
      <c r="E8" s="15">
        <v>0</v>
      </c>
      <c r="F8" s="15">
        <v>0</v>
      </c>
      <c r="G8" s="15">
        <v>2</v>
      </c>
    </row>
    <row r="9" spans="1:7" x14ac:dyDescent="0.2">
      <c r="A9" s="14" t="s">
        <v>106</v>
      </c>
      <c r="B9" s="15">
        <v>2</v>
      </c>
      <c r="C9" s="15">
        <v>2</v>
      </c>
      <c r="D9" s="15">
        <v>2</v>
      </c>
      <c r="E9" s="15">
        <v>1</v>
      </c>
      <c r="F9" s="15">
        <v>0</v>
      </c>
      <c r="G9" s="15">
        <v>1</v>
      </c>
    </row>
    <row r="10" spans="1:7" x14ac:dyDescent="0.2">
      <c r="A10" s="14" t="s">
        <v>107</v>
      </c>
      <c r="B10" s="15">
        <v>1</v>
      </c>
      <c r="C10" s="15">
        <v>1</v>
      </c>
      <c r="D10" s="15">
        <v>2</v>
      </c>
      <c r="E10" s="15">
        <v>1</v>
      </c>
      <c r="F10" s="15">
        <v>1</v>
      </c>
      <c r="G10" s="15">
        <v>0</v>
      </c>
    </row>
    <row r="11" spans="1:7" x14ac:dyDescent="0.2">
      <c r="A11" s="22" t="s">
        <v>108</v>
      </c>
      <c r="B11" s="6"/>
      <c r="C11" s="23">
        <f>SUMPRODUCT($B$5:$B$10,C5:C10)</f>
        <v>11</v>
      </c>
      <c r="D11" s="23">
        <f>SUMPRODUCT($B$5:$B$10,D5:D10)</f>
        <v>10</v>
      </c>
      <c r="E11" s="23">
        <f>SUMPRODUCT($B$5:$B$10,E5:E10)</f>
        <v>10</v>
      </c>
      <c r="F11" s="23">
        <f>SUMPRODUCT($B$5:$B$10,F5:F10)</f>
        <v>4</v>
      </c>
      <c r="G11" s="23">
        <f>SUMPRODUCT($B$5:$B$10,G5:G10)</f>
        <v>8</v>
      </c>
    </row>
    <row r="12" spans="1:7" x14ac:dyDescent="0.2">
      <c r="A12" s="18" t="s">
        <v>109</v>
      </c>
      <c r="C12" s="24" t="str">
        <f>INDEX(C4:G4,MATCH(MAX(C11:G11),C11:G11,0))</f>
        <v>Agents-as-tools</v>
      </c>
    </row>
    <row r="14" spans="1:7" x14ac:dyDescent="0.2">
      <c r="A14" s="5" t="s">
        <v>110</v>
      </c>
      <c r="B14" s="6"/>
      <c r="C14" s="6"/>
      <c r="D14" s="6"/>
      <c r="E14" s="6"/>
      <c r="F14" s="6"/>
      <c r="G14" s="6"/>
    </row>
    <row r="15" spans="1:7" x14ac:dyDescent="0.2">
      <c r="A15" s="13" t="s">
        <v>111</v>
      </c>
      <c r="B15" s="13" t="s">
        <v>112</v>
      </c>
      <c r="C15" s="13" t="s">
        <v>113</v>
      </c>
    </row>
    <row r="16" spans="1:7" x14ac:dyDescent="0.2">
      <c r="A16" s="14" t="s">
        <v>114</v>
      </c>
      <c r="B16" s="15" t="s">
        <v>115</v>
      </c>
      <c r="C16" s="25" t="str">
        <f>IF(B16="Yes","AgentCore Runtime","A Lambda may be enough")</f>
        <v>AgentCore Runtime</v>
      </c>
    </row>
    <row r="17" spans="1:3" x14ac:dyDescent="0.2">
      <c r="A17" s="14" t="s">
        <v>116</v>
      </c>
      <c r="B17" s="15" t="s">
        <v>115</v>
      </c>
      <c r="C17" s="25" t="str">
        <f>IF(B17="Yes","S3SessionManager","FileSessionManager OK for local only")</f>
        <v>S3SessionManager</v>
      </c>
    </row>
    <row r="18" spans="1:3" x14ac:dyDescent="0.2">
      <c r="A18" s="14" t="s">
        <v>117</v>
      </c>
      <c r="B18" s="15" t="s">
        <v>115</v>
      </c>
      <c r="C18" s="25" t="str">
        <f>IF(B18="Yes","@aws/agentcore CLI","Starter toolkit is fine for notebooks")</f>
        <v>@aws/agentcore CLI</v>
      </c>
    </row>
    <row r="19" spans="1:3" x14ac:dyDescent="0.2">
      <c r="A19" s="14" t="s">
        <v>118</v>
      </c>
      <c r="B19" s="15" t="s">
        <v>115</v>
      </c>
      <c r="C19" s="25" t="str">
        <f>IF(B19="Yes","Front it with a Gateway (MCP)","Use Strands @tool functions directly")</f>
        <v>Front it with a Gateway (MCP)</v>
      </c>
    </row>
  </sheetData>
  <dataValidations count="1">
    <dataValidation type="list" allowBlank="1" sqref="B16:B19" xr:uid="{00000000-0002-0000-03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showGridLines="0" tabSelected="1" zoomScaleNormal="100" workbookViewId="0">
      <selection activeCell="D29" sqref="D29"/>
    </sheetView>
  </sheetViews>
  <sheetFormatPr baseColWidth="10" defaultColWidth="8.6640625" defaultRowHeight="15" x14ac:dyDescent="0.2"/>
  <cols>
    <col min="1" max="1" width="28" customWidth="1"/>
    <col min="2" max="3" width="40" customWidth="1"/>
    <col min="4" max="4" width="38" customWidth="1"/>
  </cols>
  <sheetData>
    <row r="1" spans="1:4" ht="19" x14ac:dyDescent="0.2">
      <c r="A1" s="1" t="s">
        <v>119</v>
      </c>
    </row>
    <row r="2" spans="1:4" x14ac:dyDescent="0.2">
      <c r="A2" s="10" t="s">
        <v>120</v>
      </c>
    </row>
    <row r="4" spans="1:4" x14ac:dyDescent="0.2">
      <c r="A4" s="5" t="s">
        <v>121</v>
      </c>
      <c r="B4" s="6"/>
      <c r="C4" s="6"/>
      <c r="D4" s="6"/>
    </row>
    <row r="5" spans="1:4" x14ac:dyDescent="0.2">
      <c r="A5" s="13" t="s">
        <v>122</v>
      </c>
      <c r="B5" s="13" t="s">
        <v>123</v>
      </c>
      <c r="C5" s="13" t="s">
        <v>124</v>
      </c>
      <c r="D5" s="13" t="s">
        <v>125</v>
      </c>
    </row>
    <row r="6" spans="1:4" x14ac:dyDescent="0.2">
      <c r="A6" s="20" t="s">
        <v>126</v>
      </c>
      <c r="B6" s="15" t="s">
        <v>115</v>
      </c>
      <c r="C6" s="17" t="s">
        <v>127</v>
      </c>
      <c r="D6" s="14" t="s">
        <v>128</v>
      </c>
    </row>
    <row r="7" spans="1:4" x14ac:dyDescent="0.2">
      <c r="A7" s="20" t="s">
        <v>129</v>
      </c>
      <c r="B7" s="15" t="s">
        <v>115</v>
      </c>
      <c r="C7" s="17" t="s">
        <v>130</v>
      </c>
      <c r="D7" s="14" t="s">
        <v>131</v>
      </c>
    </row>
    <row r="8" spans="1:4" x14ac:dyDescent="0.2">
      <c r="A8" s="20" t="s">
        <v>132</v>
      </c>
      <c r="B8" s="15" t="s">
        <v>115</v>
      </c>
      <c r="C8" s="17" t="s">
        <v>133</v>
      </c>
      <c r="D8" s="14" t="s">
        <v>134</v>
      </c>
    </row>
    <row r="9" spans="1:4" x14ac:dyDescent="0.2">
      <c r="A9" s="20" t="s">
        <v>135</v>
      </c>
      <c r="B9" s="15" t="s">
        <v>29</v>
      </c>
      <c r="C9" s="17" t="s">
        <v>136</v>
      </c>
      <c r="D9" s="14" t="s">
        <v>137</v>
      </c>
    </row>
    <row r="11" spans="1:4" ht="42" x14ac:dyDescent="0.2">
      <c r="A11" s="18" t="s">
        <v>138</v>
      </c>
      <c r="B11" s="15">
        <v>90</v>
      </c>
      <c r="C11" s="26" t="s">
        <v>139</v>
      </c>
    </row>
    <row r="13" spans="1:4" x14ac:dyDescent="0.2">
      <c r="A13" s="5" t="s">
        <v>140</v>
      </c>
      <c r="B13" s="6"/>
      <c r="C13" s="6"/>
      <c r="D13" s="6"/>
    </row>
    <row r="14" spans="1:4" x14ac:dyDescent="0.2">
      <c r="A14" s="13" t="s">
        <v>141</v>
      </c>
      <c r="B14" s="13" t="s">
        <v>142</v>
      </c>
      <c r="C14" s="13" t="s">
        <v>143</v>
      </c>
      <c r="D14" s="13" t="s">
        <v>26</v>
      </c>
    </row>
    <row r="15" spans="1:4" x14ac:dyDescent="0.2">
      <c r="A15" s="17" t="s">
        <v>144</v>
      </c>
      <c r="B15" s="15" t="s">
        <v>145</v>
      </c>
      <c r="C15" s="17" t="s">
        <v>146</v>
      </c>
      <c r="D15" s="26" t="s">
        <v>147</v>
      </c>
    </row>
    <row r="16" spans="1:4" x14ac:dyDescent="0.2">
      <c r="A16" s="17" t="s">
        <v>148</v>
      </c>
      <c r="B16" s="15" t="s">
        <v>149</v>
      </c>
      <c r="C16" s="17" t="s">
        <v>150</v>
      </c>
      <c r="D16" s="26" t="s">
        <v>151</v>
      </c>
    </row>
    <row r="18" spans="1:4" x14ac:dyDescent="0.2">
      <c r="A18" s="5" t="s">
        <v>152</v>
      </c>
      <c r="B18" s="6"/>
      <c r="C18" s="6"/>
      <c r="D18" s="6"/>
    </row>
    <row r="19" spans="1:4" x14ac:dyDescent="0.2">
      <c r="A19" s="13" t="s">
        <v>153</v>
      </c>
      <c r="B19" s="13" t="s">
        <v>154</v>
      </c>
      <c r="C19" s="13" t="s">
        <v>155</v>
      </c>
    </row>
    <row r="20" spans="1:4" x14ac:dyDescent="0.2">
      <c r="A20" s="20" t="s">
        <v>156</v>
      </c>
      <c r="B20" s="17" t="s">
        <v>157</v>
      </c>
      <c r="C20" s="26" t="s">
        <v>158</v>
      </c>
    </row>
    <row r="21" spans="1:4" x14ac:dyDescent="0.2">
      <c r="A21" s="20" t="s">
        <v>159</v>
      </c>
      <c r="B21" s="17" t="s">
        <v>160</v>
      </c>
      <c r="C21" s="26" t="s">
        <v>161</v>
      </c>
    </row>
    <row r="22" spans="1:4" ht="28" x14ac:dyDescent="0.2">
      <c r="A22" s="20" t="s">
        <v>162</v>
      </c>
      <c r="B22" s="17" t="s">
        <v>163</v>
      </c>
      <c r="C22" s="26" t="s">
        <v>164</v>
      </c>
    </row>
    <row r="23" spans="1:4" x14ac:dyDescent="0.2">
      <c r="A23" s="20" t="s">
        <v>165</v>
      </c>
      <c r="B23" s="17" t="s">
        <v>166</v>
      </c>
      <c r="C23" s="26" t="s">
        <v>167</v>
      </c>
    </row>
  </sheetData>
  <conditionalFormatting sqref="B6:B9">
    <cfRule type="cellIs" dxfId="1" priority="2" operator="equal">
      <formula>"Yes"</formula>
    </cfRule>
    <cfRule type="cellIs" dxfId="0" priority="3" operator="equal">
      <formula>"No"</formula>
    </cfRule>
  </conditionalFormatting>
  <dataValidations count="2">
    <dataValidation type="list" allowBlank="1" sqref="B6:B9" xr:uid="{00000000-0002-0000-0400-000000000000}">
      <formula1>"Yes,No"</formula1>
      <formula2>0</formula2>
    </dataValidation>
    <dataValidation type="list" allowBlank="1" sqref="B15:B16" xr:uid="{00000000-0002-0000-0400-000001000000}">
      <formula1>"API key,OAuth2"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Guide</vt:lpstr>
      <vt:lpstr>Readiness Scorecard</vt:lpstr>
      <vt:lpstr>Failure Drills</vt:lpstr>
      <vt:lpstr>Decisions</vt:lpstr>
      <vt:lpstr>Memory &amp; Identity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Akash Das</cp:lastModifiedBy>
  <cp:revision>0</cp:revision>
  <dcterms:created xsi:type="dcterms:W3CDTF">2026-06-07T17:51:01Z</dcterms:created>
  <dcterms:modified xsi:type="dcterms:W3CDTF">2026-06-08T08:14:00Z</dcterms:modified>
  <dc:language>en-US</dc:language>
</cp:coreProperties>
</file>