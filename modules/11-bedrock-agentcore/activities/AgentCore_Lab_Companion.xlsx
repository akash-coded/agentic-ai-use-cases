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gress Tracker" sheetId="2" state="visible" r:id="rId4"/>
    <sheet name="Activity Checklist" sheetId="3" state="visible" r:id="rId5"/>
    <sheet name="Preflight (NB0)" sheetId="4" state="visible" r:id="rId6"/>
    <sheet name="API Cheat Sheet" sheetId="5" state="visible" r:id="rId7"/>
    <sheet name="Errors → Fix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<sst xmlns="http://schemas.openxmlformats.org/spreadsheetml/2006/main" count="381" uniqueCount="265">
  <si>
    <t xml:space="preserve">AgentCore Hands-On — Lab Companion</t>
  </si>
  <si>
    <t xml:space="preserve">Companion to the 8-notebook AgentCore series · region us-east-1 · Haiku 4.5 + Sonnet 4.5</t>
  </si>
  <si>
    <t xml:space="preserve">What this workbook is</t>
  </si>
  <si>
    <t xml:space="preserve">A working companion to the notebooks: track progress, tick off the hands-on activities, confirm your environment, and keep a verified API + troubleshooting reference at hand.</t>
  </si>
  <si>
    <t xml:space="preserve">How to use the tabs</t>
  </si>
  <si>
    <t xml:space="preserve">Progress Tracker = where you are. Activity Checklist = what to do per notebook. Preflight = is my environment ready. API Cheat Sheet + Errors -&gt; Fixes = reference while you build.</t>
  </si>
  <si>
    <t xml:space="preserve">The series</t>
  </si>
  <si>
    <t xml:space="preserve">Notebook</t>
  </si>
  <si>
    <t xml:space="preserve">Focus</t>
  </si>
  <si>
    <t xml:space="preserve">00 · Setup &amp; sanity</t>
  </si>
  <si>
    <t xml:space="preserve">Mental model, install, creds, preflight that scans model lifecycle</t>
  </si>
  <si>
    <t xml:space="preserve">01 · Build three ways</t>
  </si>
  <si>
    <t xml:space="preserve">Same agent: raw Converse loop, Bedrock Agents/RETURN_CONTROL, Strands</t>
  </si>
  <si>
    <t xml:space="preserve">02 · Runtime</t>
  </si>
  <si>
    <t xml:space="preserve">Deploy: /invocations + /ping contract, configure/launch/invoke, sessions</t>
  </si>
  <si>
    <t xml:space="preserve">03 · Memory</t>
  </si>
  <si>
    <t xml:space="preserve">Short vs long term, four strategies, a memory hook, branches</t>
  </si>
  <si>
    <t xml:space="preserve">04 · Tools &amp; Identity</t>
  </si>
  <si>
    <t xml:space="preserve">Code Interpreter, Browser, Gateway (APIs as MCP), inbound/outbound auth</t>
  </si>
  <si>
    <t xml:space="preserve">05 · Multi-agent</t>
  </si>
  <si>
    <t xml:space="preserve">Agents-as-tools, sequential/conditional/parallel graphs, Swarm, A2A</t>
  </si>
  <si>
    <t xml:space="preserve">06 · Capstone</t>
  </si>
  <si>
    <t xml:space="preserve">TravelMind assembled: memory + tools + multi-agent, deployed</t>
  </si>
  <si>
    <t xml:space="preserve">07 · Production patterns</t>
  </si>
  <si>
    <t xml:space="preserve">Pool, retries/backoff, bounded context, S3 sessions, observability, cost, safety</t>
  </si>
  <si>
    <t xml:space="preserve">Legend</t>
  </si>
  <si>
    <t xml:space="preserve">Blue text</t>
  </si>
  <si>
    <t xml:space="preserve">An input you can change</t>
  </si>
  <si>
    <t xml:space="preserve">Black text</t>
  </si>
  <si>
    <t xml:space="preserve">A calculated formula</t>
  </si>
  <si>
    <t xml:space="preserve">Green text</t>
  </si>
  <si>
    <t xml:space="preserve">A value pulled from another sheet</t>
  </si>
  <si>
    <t xml:space="preserve">Yellow fill</t>
  </si>
  <si>
    <t xml:space="preserve">A key assumption worth checking</t>
  </si>
  <si>
    <t xml:space="preserve">Progress Tracker</t>
  </si>
  <si>
    <t xml:space="preserve">Status</t>
  </si>
  <si>
    <t xml:space="preserve">Est. hrs</t>
  </si>
  <si>
    <t xml:space="preserve">Notes</t>
  </si>
  <si>
    <t xml:space="preserve">Not started</t>
  </si>
  <si>
    <t xml:space="preserve">Summary</t>
  </si>
  <si>
    <t xml:space="preserve">Notebooks complete</t>
  </si>
  <si>
    <t xml:space="preserve">Completion</t>
  </si>
  <si>
    <t xml:space="preserve">Total estimated hours</t>
  </si>
  <si>
    <t xml:space="preserve">Activity Checklist — the hands-on tasks</t>
  </si>
  <si>
    <t xml:space="preserve">Tick each as you complete it. Evidence = a note, a screenshot name, or an output you saw.</t>
  </si>
  <si>
    <t xml:space="preserve">Activity</t>
  </si>
  <si>
    <t xml:space="preserve">Done?</t>
  </si>
  <si>
    <t xml:space="preserve">Evidence / note</t>
  </si>
  <si>
    <t xml:space="preserve">00</t>
  </si>
  <si>
    <t xml:space="preserve">Install packages and register the 'Python (agentcore)' kernel (or Colab pip)</t>
  </si>
  <si>
    <t xml:space="preserve">No</t>
  </si>
  <si>
    <t xml:space="preserve">Set region us-east-1 and credentials; run STS get_caller_identity</t>
  </si>
  <si>
    <t xml:space="preserve">Run converse_ping on Haiku 4.5 and Sonnet 4.5 — both return text</t>
  </si>
  <si>
    <t xml:space="preserve">Run the preflight model-lifecycle scan — no LEGACY surprises</t>
  </si>
  <si>
    <t xml:space="preserve">01</t>
  </si>
  <si>
    <t xml:space="preserve">Run the no-framework Converse tool loop end to end</t>
  </si>
  <si>
    <t xml:space="preserve">Run the inline Bedrock Agent with RETURN_CONTROL (no Lambda)</t>
  </si>
  <si>
    <t xml:space="preserve">Run the Strands agent; inspect stop_reason and accumulated_usage</t>
  </si>
  <si>
    <t xml:space="preserve">02</t>
  </si>
  <si>
    <t xml:space="preserve">Write app.py with BedrockAgentCoreApp + @app.entrypoint</t>
  </si>
  <si>
    <t xml:space="preserve">Test locally: curl /ping and /invocations</t>
  </si>
  <si>
    <t xml:space="preserve">configure + launch the runtime; invoke it</t>
  </si>
  <si>
    <t xml:space="preserve">Invoke twice with the same session_id and see context persist</t>
  </si>
  <si>
    <t xml:space="preserve">03</t>
  </si>
  <si>
    <t xml:space="preserve">Create a memory store with userPreference + semantic strategies</t>
  </si>
  <si>
    <t xml:space="preserve">create_event then get_last_k_turns (short-term)</t>
  </si>
  <si>
    <t xml:space="preserve">retrieve_memories after a wait (long-term, async)</t>
  </si>
  <si>
    <t xml:space="preserve">Wire a MemoryHook into a Strands agent and see preferences recalled</t>
  </si>
  <si>
    <t xml:space="preserve">04</t>
  </si>
  <si>
    <t xml:space="preserve">Give an agent the Code Interpreter tool; get exact EU261 math</t>
  </si>
  <si>
    <t xml:space="preserve">Run the Browser tool (playwright + nest_asyncio installed)</t>
  </si>
  <si>
    <t xml:space="preserve">Connect an agent to a Gateway MCP endpoint via MCPClient</t>
  </si>
  <si>
    <t xml:space="preserve">Register an outbound credential provider; use @requires_api_key</t>
  </si>
  <si>
    <t xml:space="preserve">05</t>
  </si>
  <si>
    <t xml:space="preserve">Run agents-as-tools orchestration</t>
  </si>
  <si>
    <t xml:space="preserve">Build a sequential Graph and read execution_order</t>
  </si>
  <si>
    <t xml:space="preserve">Build a conditional + parallel Graph (classifier routes)</t>
  </si>
  <si>
    <t xml:space="preserve">Run a Swarm with autonomous handoff</t>
  </si>
  <si>
    <t xml:space="preserve">Stand up an A2AServer and read its agent card URL</t>
  </si>
  <si>
    <t xml:space="preserve">06</t>
  </si>
  <si>
    <t xml:space="preserve">Build the TravelMind brain locally and test it</t>
  </si>
  <si>
    <t xml:space="preserve">Deploy the capstone with MEMORY_ID as an env var; invoke it</t>
  </si>
  <si>
    <t xml:space="preserve">07</t>
  </si>
  <si>
    <t xml:space="preserve">Run the pool concurrency/LRU/TTL drill — assertions pass</t>
  </si>
  <si>
    <t xml:space="preserve">Deploy the hardened app.py with production env vars</t>
  </si>
  <si>
    <t xml:space="preserve">Run the failure drills (bad input, throttle, memory off)</t>
  </si>
  <si>
    <t xml:space="preserve">Activities done</t>
  </si>
  <si>
    <t xml:space="preserve">Of total</t>
  </si>
  <si>
    <t xml:space="preserve">Percent complete</t>
  </si>
  <si>
    <t xml:space="preserve">Preflight — is my environment ready?</t>
  </si>
  <si>
    <t xml:space="preserve">Clear this before notebook 01. Status drives the readiness gauge at the bottom.</t>
  </si>
  <si>
    <t xml:space="preserve">Check</t>
  </si>
  <si>
    <t xml:space="preserve">Required</t>
  </si>
  <si>
    <t xml:space="preserve">How to verify</t>
  </si>
  <si>
    <t xml:space="preserve">AWS account with Bedrock enabled</t>
  </si>
  <si>
    <t xml:space="preserve">Yes</t>
  </si>
  <si>
    <t xml:space="preserve">Not done</t>
  </si>
  <si>
    <t xml:space="preserve">Bedrock console opens in us-east-1</t>
  </si>
  <si>
    <t xml:space="preserve">Model access: Claude Haiku 4.5 + Sonnet 4.5 (us-east-1)</t>
  </si>
  <si>
    <t xml:space="preserve">Bedrock &gt; Model access shows both granted</t>
  </si>
  <si>
    <t xml:space="preserve">AWS credentials configured</t>
  </si>
  <si>
    <t xml:space="preserve">aws sts get-caller-identity returns your account</t>
  </si>
  <si>
    <t xml:space="preserve">Region set to us-east-1</t>
  </si>
  <si>
    <t xml:space="preserve">AWS_DEFAULT_REGION=us-east-1</t>
  </si>
  <si>
    <t xml:space="preserve">IAM: AmazonBedrockFullAccess</t>
  </si>
  <si>
    <t xml:space="preserve">Attached to your principal</t>
  </si>
  <si>
    <t xml:space="preserve">IAM: BedrockAgentCoreFullAccess</t>
  </si>
  <si>
    <t xml:space="preserve">Python 3.10+</t>
  </si>
  <si>
    <t xml:space="preserve">python --version</t>
  </si>
  <si>
    <t xml:space="preserve">Packages installed (requirements.txt)</t>
  </si>
  <si>
    <t xml:space="preserve">pip show strands-agents bedrock-agentcore</t>
  </si>
  <si>
    <t xml:space="preserve">Node.js 20+ (only for the CLI sections)</t>
  </si>
  <si>
    <t xml:space="preserve">Optional</t>
  </si>
  <si>
    <t xml:space="preserve">node --version</t>
  </si>
  <si>
    <t xml:space="preserve">S3 bucket for sessions (notebook 07)</t>
  </si>
  <si>
    <t xml:space="preserve">Needed only for S3SessionManager</t>
  </si>
  <si>
    <t xml:space="preserve">Sanity: converse_ping returns text</t>
  </si>
  <si>
    <t xml:space="preserve">Run the NB0 sanity cell</t>
  </si>
  <si>
    <t xml:space="preserve">Preflight: no LEGACY model surprises</t>
  </si>
  <si>
    <t xml:space="preserve">Run the NB0 preflight scan</t>
  </si>
  <si>
    <t xml:space="preserve">Readiness (required items only)</t>
  </si>
  <si>
    <t xml:space="preserve">Required checks done</t>
  </si>
  <si>
    <t xml:space="preserve">Required checks total</t>
  </si>
  <si>
    <t xml:space="preserve">Environment readiness</t>
  </si>
  <si>
    <t xml:space="preserve">API Cheat Sheet — verified against the installed packages</t>
  </si>
  <si>
    <t xml:space="preserve">strands-agents 1.42 · bedrock-agentcore 1.14 · starter-toolkit 0.3.9 · boto3 1.43. Confirm against your versions.</t>
  </si>
  <si>
    <t xml:space="preserve">Area</t>
  </si>
  <si>
    <t xml:space="preserve">Thing to remember</t>
  </si>
  <si>
    <t xml:space="preserve">Exact value / call</t>
  </si>
  <si>
    <t xml:space="preserve">Region</t>
  </si>
  <si>
    <t xml:space="preserve">Everything runs here</t>
  </si>
  <si>
    <t xml:space="preserve">us-east-1</t>
  </si>
  <si>
    <t xml:space="preserve">Model — cheap/fast</t>
  </si>
  <si>
    <t xml:space="preserve">Haiku 4.5 inference profile</t>
  </si>
  <si>
    <t xml:space="preserve">us.anthropic.claude-haiku-4-5-20251001-v1:0</t>
  </si>
  <si>
    <t xml:space="preserve">Model — strong</t>
  </si>
  <si>
    <t xml:space="preserve">Sonnet 4.5 inference profile</t>
  </si>
  <si>
    <t xml:space="preserve">us.anthropic.claude-sonnet-4-5-20250929-v1:0</t>
  </si>
  <si>
    <t xml:space="preserve">Model IDs</t>
  </si>
  <si>
    <t xml:space="preserve">Why the 'us.' prefix</t>
  </si>
  <si>
    <t xml:space="preserve">Claude 4.x needs the cross-region inference prefix; a bare id raises ValidationException</t>
  </si>
  <si>
    <t xml:space="preserve">Model params</t>
  </si>
  <si>
    <t xml:space="preserve">Sampling constraint</t>
  </si>
  <si>
    <t xml:space="preserve">Claude 4.x: set temperature XOR top_p, never both</t>
  </si>
  <si>
    <t xml:space="preserve">boto3 service — data plane</t>
  </si>
  <si>
    <t xml:space="preserve">Invoke a deployed runtime</t>
  </si>
  <si>
    <t xml:space="preserve">bedrock-agentcore : invoke_agent_runtime(...)</t>
  </si>
  <si>
    <t xml:space="preserve">boto3 service — control plane</t>
  </si>
  <si>
    <t xml:space="preserve">Create gateways/memory/etc.</t>
  </si>
  <si>
    <t xml:space="preserve">bedrock-agentcore-control : create_gateway / create_memory / ...</t>
  </si>
  <si>
    <t xml:space="preserve">boto3 service — model calls</t>
  </si>
  <si>
    <t xml:space="preserve">Raw model invocation</t>
  </si>
  <si>
    <t xml:space="preserve">bedrock-runtime : Converse / InvokeModel</t>
  </si>
  <si>
    <t xml:space="preserve">boto3 service — classic agents</t>
  </si>
  <si>
    <t xml:space="preserve">Bedrock Agents</t>
  </si>
  <si>
    <t xml:space="preserve">bedrock-agent (control) / bedrock-agent-runtime (InvokeAgent, InvokeInlineAgent)</t>
  </si>
  <si>
    <t xml:space="preserve">Runtime contract</t>
  </si>
  <si>
    <t xml:space="preserve">Every agent is an HTTP server</t>
  </si>
  <si>
    <t xml:space="preserve">POST /invocations + GET /ping on port 8080</t>
  </si>
  <si>
    <t xml:space="preserve">Runtime invoke</t>
  </si>
  <si>
    <t xml:space="preserve">Session id length</t>
  </si>
  <si>
    <t xml:space="preserve">runtimeSessionId must be &gt;= 33 characters</t>
  </si>
  <si>
    <t xml:space="preserve">Runtime build</t>
  </si>
  <si>
    <t xml:space="preserve">Container architecture</t>
  </si>
  <si>
    <t xml:space="preserve">ARM64, built in CodeBuild — don't hand-build x86 locally</t>
  </si>
  <si>
    <t xml:space="preserve">Strands</t>
  </si>
  <si>
    <t xml:space="preserve">Build an agent</t>
  </si>
  <si>
    <t xml:space="preserve">from strands import Agent, tool ; Agent(model=, tools=[...], system_prompt=, hooks=[...])</t>
  </si>
  <si>
    <t xml:space="preserve">Strands tool</t>
  </si>
  <si>
    <t xml:space="preserve">How schema is derived</t>
  </si>
  <si>
    <t xml:space="preserve">@tool ; docstring -&gt; description, type hints -&gt; input schema</t>
  </si>
  <si>
    <t xml:space="preserve">Strands result</t>
  </si>
  <si>
    <t xml:space="preserve">Read the output</t>
  </si>
  <si>
    <t xml:space="preserve">str(result) = text ; result.metrics.accumulated_usage = tokens</t>
  </si>
  <si>
    <t xml:space="preserve">Memory</t>
  </si>
  <si>
    <t xml:space="preserve">Create + record + recall</t>
  </si>
  <si>
    <t xml:space="preserve">MemoryClient ; create_memory_and_wait / create_event / retrieve_memories</t>
  </si>
  <si>
    <t xml:space="preserve">Memory event</t>
  </si>
  <si>
    <t xml:space="preserve">Message tuple order</t>
  </si>
  <si>
    <t xml:space="preserve">messages=[(text, role)] ; roles USER/ASSISTANT/TOOL/OTHER</t>
  </si>
  <si>
    <t xml:space="preserve">Memory strategies</t>
  </si>
  <si>
    <t xml:space="preserve">The four kinds</t>
  </si>
  <si>
    <t xml:space="preserve">semanticMemoryStrategy, summaryMemoryStrategy, userPreferenceMemoryStrategy, episodicMemoryStrategy</t>
  </si>
  <si>
    <t xml:space="preserve">Tools</t>
  </si>
  <si>
    <t xml:space="preserve">Code / web / your APIs</t>
  </si>
  <si>
    <t xml:space="preserve">AgentCoreCodeInterpreter.code_interpreter ; AgentCoreBrowser.browser ; Gateway (MCP)</t>
  </si>
  <si>
    <t xml:space="preserve">Identity (outbound)</t>
  </si>
  <si>
    <t xml:space="preserve">Inject a secret at runtime</t>
  </si>
  <si>
    <t xml:space="preserve">@requires_api_key(provider_name=, into='api_key') / @requires_access_token(...)</t>
  </si>
  <si>
    <t xml:space="preserve">Multi-agent</t>
  </si>
  <si>
    <t xml:space="preserve">The primitives</t>
  </si>
  <si>
    <t xml:space="preserve">GraphBuilder ; Swarm ; A2AServer ; agents-as-tools (wrap str(agent(q)))</t>
  </si>
  <si>
    <t xml:space="preserve">Production</t>
  </si>
  <si>
    <t xml:space="preserve">Concurrency-safe sessions</t>
  </si>
  <si>
    <t xml:space="preserve">S3SessionManager (FileSessionManager has no locking)</t>
  </si>
  <si>
    <t xml:space="preserve">Retries</t>
  </si>
  <si>
    <t xml:space="preserve">BedrockModel(boto_client_config=Config(retries={'mode':'adaptive'})) + app backoff on ModelThrottledException</t>
  </si>
  <si>
    <t xml:space="preserve">Bounded context</t>
  </si>
  <si>
    <t xml:space="preserve">SlidingWindowConversationManager(window_size=N)</t>
  </si>
  <si>
    <t xml:space="preserve">Errors → Fixes — consolidated troubleshooting</t>
  </si>
  <si>
    <t xml:space="preserve">Symptom</t>
  </si>
  <si>
    <t xml:space="preserve">Likely cause</t>
  </si>
  <si>
    <t xml:space="preserve">Fix</t>
  </si>
  <si>
    <t xml:space="preserve">ValidationException on a model call</t>
  </si>
  <si>
    <t xml:space="preserve">Bare model id (no us. prefix)</t>
  </si>
  <si>
    <t xml:space="preserve">Use the us.* inference-profile id</t>
  </si>
  <si>
    <t xml:space="preserve">00/01</t>
  </si>
  <si>
    <t xml:space="preserve">ValidationException: temperature and top_p</t>
  </si>
  <si>
    <t xml:space="preserve">Both sampling params set</t>
  </si>
  <si>
    <t xml:space="preserve">Set one only on Claude 4.x</t>
  </si>
  <si>
    <t xml:space="preserve">AccessDenied invoking a model</t>
  </si>
  <si>
    <t xml:space="preserve">Model access not granted</t>
  </si>
  <si>
    <t xml:space="preserve">Enable model access in Bedrock console (us-east-1)</t>
  </si>
  <si>
    <t xml:space="preserve">Build fails / exec format error</t>
  </si>
  <si>
    <t xml:space="preserve">Built x86 image locally</t>
  </si>
  <si>
    <t xml:space="preserve">Let launch/CLI build ARM64 via CodeBuild</t>
  </si>
  <si>
    <t xml:space="preserve">ValidationException on invoke_agent_runtime</t>
  </si>
  <si>
    <t xml:space="preserve">runtimeSessionId &lt; 33 chars</t>
  </si>
  <si>
    <t xml:space="preserve">Use a session id &gt;= 33 chars</t>
  </si>
  <si>
    <t xml:space="preserve">02/06</t>
  </si>
  <si>
    <t xml:space="preserve">UnknownService in boto3</t>
  </si>
  <si>
    <t xml:space="preserve">Wrong service name</t>
  </si>
  <si>
    <t xml:space="preserve">Data=bedrock-agentcore; control=bedrock-agentcore-control</t>
  </si>
  <si>
    <t xml:space="preserve">02/04</t>
  </si>
  <si>
    <t xml:space="preserve">Re-deploy ignores changes</t>
  </si>
  <si>
    <t xml:space="preserve">Stale .bedrock_agentcore.yaml</t>
  </si>
  <si>
    <t xml:space="preserve">launch(auto_update_on_conflict=True) or re-configure</t>
  </si>
  <si>
    <t xml:space="preserve">Client times out on long agent</t>
  </si>
  <si>
    <t xml:space="preserve">Read timeout too short</t>
  </si>
  <si>
    <t xml:space="preserve">Raise boto3 read_timeout (e.g. 120-300s)</t>
  </si>
  <si>
    <t xml:space="preserve">02/07</t>
  </si>
  <si>
    <t xml:space="preserve">retrieve_memories returns nothing new</t>
  </si>
  <si>
    <t xml:space="preserve">LTM extraction is async</t>
  </si>
  <si>
    <t xml:space="preserve">Wait/poll; get_last_k_turns is immediate</t>
  </si>
  <si>
    <t xml:space="preserve">Recalled wrong/no memory</t>
  </si>
  <si>
    <t xml:space="preserve">Read namespace != write namespace</t>
  </si>
  <si>
    <t xml:space="preserve">Match retrieve namespace to the strategy template</t>
  </si>
  <si>
    <t xml:space="preserve">ValueError: each message must be (text, role)</t>
  </si>
  <si>
    <t xml:space="preserve">Wrong tuple order</t>
  </si>
  <si>
    <t xml:space="preserve">It is (text, role)</t>
  </si>
  <si>
    <t xml:space="preserve">Browser cell hangs / loop error</t>
  </si>
  <si>
    <t xml:space="preserve">Missing nest_asyncio / playwright</t>
  </si>
  <si>
    <t xml:space="preserve">pip install playwright nest_asyncio; playwright install chromium</t>
  </si>
  <si>
    <t xml:space="preserve">Gateway connects but no tools</t>
  </si>
  <si>
    <t xml:space="preserve">Target not synced / bad token</t>
  </si>
  <si>
    <t xml:space="preserve">Confirm target status + bearer token matches allowedClients</t>
  </si>
  <si>
    <t xml:space="preserve">401/403 invoking the agent</t>
  </si>
  <si>
    <t xml:space="preserve">Inbound authorizer rejected token</t>
  </si>
  <si>
    <t xml:space="preserve">Token must match discoveryUrl + allowed clients/audience</t>
  </si>
  <si>
    <t xml:space="preserve">04/07</t>
  </si>
  <si>
    <t xml:space="preserve">Graph 'may run indefinitely' warning</t>
  </si>
  <si>
    <t xml:space="preserve">No execution limits on cycles</t>
  </si>
  <si>
    <t xml:space="preserve">Set max_iterations / keep the graph acyclic</t>
  </si>
  <si>
    <t xml:space="preserve">Swarm loops or stalls</t>
  </si>
  <si>
    <t xml:space="preserve">No handoff guard rails</t>
  </si>
  <si>
    <t xml:space="preserve">Set max_handoffs and max_iterations</t>
  </si>
  <si>
    <t xml:space="preserve">Context window overflow</t>
  </si>
  <si>
    <t xml:space="preserve">Unbounded conversation</t>
  </si>
  <si>
    <t xml:space="preserve">Use SlidingWindowConversationManager</t>
  </si>
  <si>
    <t xml:space="preserve">Throttle / 424 under load</t>
  </si>
  <si>
    <t xml:space="preserve">Concurrent calls exceed limits</t>
  </si>
  <si>
    <t xml:space="preserve">Adaptive retries + app backoff with jitter; route cheap-first</t>
  </si>
  <si>
    <t xml:space="preserve">State lost on restart / races</t>
  </si>
  <si>
    <t xml:space="preserve">FileSessionManager (no locking)</t>
  </si>
  <si>
    <t xml:space="preserve">Use S3SessionManager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</si>
</sst>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595959"/>
      </font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B4" s="3" t="s">
        <v>2</v>
      </c>
      <c r="C4" s="4" t="s">
        <v>3</v>
      </c>
    </row>
    <row r="5" customFormat="false" ht="23.85" hidden="false" customHeight="false" outlineLevel="0" collapsed="false">
      <c r="B5" s="3" t="s">
        <v>4</v>
      </c>
      <c r="C5" s="4" t="s">
        <v>5</v>
      </c>
    </row>
    <row r="7" customFormat="false" ht="15" hidden="false" customHeight="false" outlineLevel="0" collapsed="false">
      <c r="B7" s="5" t="s">
        <v>6</v>
      </c>
      <c r="C7" s="6"/>
    </row>
    <row r="8" customFormat="false" ht="15" hidden="false" customHeight="false" outlineLevel="0" collapsed="false">
      <c r="B8" s="7" t="s">
        <v>7</v>
      </c>
      <c r="C8" s="7" t="s">
        <v>8</v>
      </c>
    </row>
    <row r="9" customFormat="false" ht="15" hidden="false" customHeight="false" outlineLevel="0" collapsed="false">
      <c r="B9" s="8" t="s">
        <v>9</v>
      </c>
      <c r="C9" s="9" t="s">
        <v>10</v>
      </c>
    </row>
    <row r="10" customFormat="false" ht="15" hidden="false" customHeight="false" outlineLevel="0" collapsed="false">
      <c r="B10" s="8" t="s">
        <v>11</v>
      </c>
      <c r="C10" s="9" t="s">
        <v>12</v>
      </c>
    </row>
    <row r="11" customFormat="false" ht="15" hidden="false" customHeight="false" outlineLevel="0" collapsed="false">
      <c r="B11" s="8" t="s">
        <v>13</v>
      </c>
      <c r="C11" s="9" t="s">
        <v>14</v>
      </c>
    </row>
    <row r="12" customFormat="false" ht="15" hidden="false" customHeight="false" outlineLevel="0" collapsed="false">
      <c r="B12" s="8" t="s">
        <v>15</v>
      </c>
      <c r="C12" s="9" t="s">
        <v>16</v>
      </c>
    </row>
    <row r="13" customFormat="false" ht="15" hidden="false" customHeight="false" outlineLevel="0" collapsed="false">
      <c r="B13" s="8" t="s">
        <v>17</v>
      </c>
      <c r="C13" s="9" t="s">
        <v>18</v>
      </c>
    </row>
    <row r="14" customFormat="false" ht="15" hidden="false" customHeight="false" outlineLevel="0" collapsed="false">
      <c r="B14" s="8" t="s">
        <v>19</v>
      </c>
      <c r="C14" s="9" t="s">
        <v>20</v>
      </c>
    </row>
    <row r="15" customFormat="false" ht="15" hidden="false" customHeight="false" outlineLevel="0" collapsed="false">
      <c r="B15" s="8" t="s">
        <v>21</v>
      </c>
      <c r="C15" s="9" t="s">
        <v>22</v>
      </c>
    </row>
    <row r="16" customFormat="false" ht="15" hidden="false" customHeight="false" outlineLevel="0" collapsed="false">
      <c r="B16" s="8" t="s">
        <v>23</v>
      </c>
      <c r="C16" s="9" t="s">
        <v>24</v>
      </c>
    </row>
    <row r="18" customFormat="false" ht="15" hidden="false" customHeight="false" outlineLevel="0" collapsed="false">
      <c r="B18" s="5" t="s">
        <v>25</v>
      </c>
      <c r="C18" s="6"/>
    </row>
    <row r="19" customFormat="false" ht="15" hidden="false" customHeight="false" outlineLevel="0" collapsed="false">
      <c r="B19" s="10" t="s">
        <v>26</v>
      </c>
      <c r="C19" s="11" t="s">
        <v>27</v>
      </c>
    </row>
    <row r="20" customFormat="false" ht="15" hidden="false" customHeight="false" outlineLevel="0" collapsed="false">
      <c r="B20" s="12" t="s">
        <v>28</v>
      </c>
      <c r="C20" s="11" t="s">
        <v>29</v>
      </c>
    </row>
    <row r="21" customFormat="false" ht="15" hidden="false" customHeight="false" outlineLevel="0" collapsed="false">
      <c r="B21" s="13" t="s">
        <v>30</v>
      </c>
      <c r="C21" s="11" t="s">
        <v>31</v>
      </c>
    </row>
    <row r="22" customFormat="false" ht="15" hidden="false" customHeight="false" outlineLevel="0" collapsed="false">
      <c r="B22" s="14" t="s">
        <v>32</v>
      </c>
      <c r="C22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8.55" hidden="false" customHeight="false" outlineLevel="0" collapsed="false">
      <c r="A1" s="1" t="s">
        <v>34</v>
      </c>
    </row>
    <row r="3" customFormat="false" ht="15" hidden="false" customHeight="false" outlineLevel="0" collapsed="false">
      <c r="A3" s="7" t="s">
        <v>7</v>
      </c>
      <c r="B3" s="7" t="s">
        <v>8</v>
      </c>
      <c r="C3" s="7" t="s">
        <v>35</v>
      </c>
      <c r="D3" s="7" t="s">
        <v>36</v>
      </c>
      <c r="E3" s="7" t="s">
        <v>37</v>
      </c>
    </row>
    <row r="4" customFormat="false" ht="23.85" hidden="false" customHeight="false" outlineLevel="0" collapsed="false">
      <c r="A4" s="8" t="s">
        <v>9</v>
      </c>
      <c r="B4" s="9" t="s">
        <v>10</v>
      </c>
      <c r="C4" s="15" t="s">
        <v>38</v>
      </c>
      <c r="D4" s="15" t="n">
        <v>2</v>
      </c>
      <c r="E4" s="16"/>
    </row>
    <row r="5" customFormat="false" ht="23.85" hidden="false" customHeight="false" outlineLevel="0" collapsed="false">
      <c r="A5" s="8" t="s">
        <v>11</v>
      </c>
      <c r="B5" s="9" t="s">
        <v>12</v>
      </c>
      <c r="C5" s="15" t="s">
        <v>38</v>
      </c>
      <c r="D5" s="15" t="n">
        <v>3</v>
      </c>
      <c r="E5" s="16"/>
    </row>
    <row r="6" customFormat="false" ht="23.85" hidden="false" customHeight="false" outlineLevel="0" collapsed="false">
      <c r="A6" s="8" t="s">
        <v>13</v>
      </c>
      <c r="B6" s="9" t="s">
        <v>14</v>
      </c>
      <c r="C6" s="15" t="s">
        <v>38</v>
      </c>
      <c r="D6" s="15" t="n">
        <v>3</v>
      </c>
      <c r="E6" s="16"/>
    </row>
    <row r="7" customFormat="false" ht="15" hidden="false" customHeight="false" outlineLevel="0" collapsed="false">
      <c r="A7" s="8" t="s">
        <v>15</v>
      </c>
      <c r="B7" s="9" t="s">
        <v>16</v>
      </c>
      <c r="C7" s="15" t="s">
        <v>38</v>
      </c>
      <c r="D7" s="15" t="n">
        <v>2</v>
      </c>
      <c r="E7" s="16"/>
    </row>
    <row r="8" customFormat="false" ht="23.85" hidden="false" customHeight="false" outlineLevel="0" collapsed="false">
      <c r="A8" s="8" t="s">
        <v>17</v>
      </c>
      <c r="B8" s="9" t="s">
        <v>18</v>
      </c>
      <c r="C8" s="15" t="s">
        <v>38</v>
      </c>
      <c r="D8" s="15" t="n">
        <v>3</v>
      </c>
      <c r="E8" s="16"/>
    </row>
    <row r="9" customFormat="false" ht="23.85" hidden="false" customHeight="false" outlineLevel="0" collapsed="false">
      <c r="A9" s="8" t="s">
        <v>19</v>
      </c>
      <c r="B9" s="9" t="s">
        <v>20</v>
      </c>
      <c r="C9" s="15" t="s">
        <v>38</v>
      </c>
      <c r="D9" s="15" t="n">
        <v>3</v>
      </c>
      <c r="E9" s="16"/>
    </row>
    <row r="10" customFormat="false" ht="23.85" hidden="false" customHeight="false" outlineLevel="0" collapsed="false">
      <c r="A10" s="8" t="s">
        <v>21</v>
      </c>
      <c r="B10" s="9" t="s">
        <v>22</v>
      </c>
      <c r="C10" s="15" t="s">
        <v>38</v>
      </c>
      <c r="D10" s="15" t="n">
        <v>2</v>
      </c>
      <c r="E10" s="16"/>
    </row>
    <row r="11" customFormat="false" ht="23.85" hidden="false" customHeight="false" outlineLevel="0" collapsed="false">
      <c r="A11" s="8" t="s">
        <v>23</v>
      </c>
      <c r="B11" s="9" t="s">
        <v>24</v>
      </c>
      <c r="C11" s="15" t="s">
        <v>38</v>
      </c>
      <c r="D11" s="15" t="n">
        <v>3</v>
      </c>
      <c r="E11" s="16"/>
    </row>
    <row r="13" customFormat="false" ht="15" hidden="false" customHeight="false" outlineLevel="0" collapsed="false">
      <c r="A13" s="5" t="s">
        <v>39</v>
      </c>
      <c r="B13" s="6"/>
      <c r="C13" s="6"/>
      <c r="D13" s="6"/>
      <c r="E13" s="6"/>
    </row>
    <row r="14" customFormat="false" ht="15" hidden="false" customHeight="false" outlineLevel="0" collapsed="false">
      <c r="A14" s="12" t="s">
        <v>40</v>
      </c>
      <c r="B14" s="17" t="n">
        <f aca="false">COUNTIF(C4:C11,"Done")</f>
        <v>0</v>
      </c>
    </row>
    <row r="15" customFormat="false" ht="15" hidden="false" customHeight="false" outlineLevel="0" collapsed="false">
      <c r="A15" s="12" t="s">
        <v>41</v>
      </c>
      <c r="B15" s="18" t="n">
        <f aca="false">COUNTIF(C4:C11,"Done")/COUNTA(A4:A11)</f>
        <v>0</v>
      </c>
    </row>
    <row r="16" customFormat="false" ht="15" hidden="false" customHeight="false" outlineLevel="0" collapsed="false">
      <c r="A16" s="12" t="s">
        <v>42</v>
      </c>
      <c r="B16" s="17" t="n">
        <f aca="false">SUM(D4:D11)</f>
        <v>21</v>
      </c>
    </row>
  </sheetData>
  <conditionalFormatting sqref="C4:C1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conditionalFormatting sqref="B15">
    <cfRule type="cellIs" priority="5" operator="greaterThanOrEqual" aboveAverage="0" equalAverage="0" bottom="0" percent="0" rank="0" text="" dxfId="0">
      <formula>0.8</formula>
    </cfRule>
    <cfRule type="cellIs" priority="6" operator="lessThan" aboveAverage="0" equalAverage="0" bottom="0" percent="0" rank="0" text="" dxfId="2">
      <formula>0.5</formula>
    </cfRule>
    <cfRule type="cellIs" priority="7" operator="between" aboveAverage="0" equalAverage="0" bottom="0" percent="0" rank="0" text="" dxfId="1">
      <formula>0.5</formula>
      <formula>0.7999</formula>
    </cfRule>
  </conditionalFormatting>
  <dataValidations count="1">
    <dataValidation allowBlank="true" errorStyle="stop" operator="between" showDropDown="false" showErrorMessage="false" showInputMessage="false" sqref="C4:C11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A3" s="7" t="s">
        <v>7</v>
      </c>
      <c r="B3" s="7" t="s">
        <v>45</v>
      </c>
      <c r="C3" s="7" t="s">
        <v>46</v>
      </c>
      <c r="D3" s="7" t="s">
        <v>47</v>
      </c>
    </row>
    <row r="4" customFormat="false" ht="15" hidden="false" customHeight="false" outlineLevel="0" collapsed="false">
      <c r="A4" s="19" t="s">
        <v>48</v>
      </c>
      <c r="B4" s="9" t="s">
        <v>49</v>
      </c>
      <c r="C4" s="15" t="s">
        <v>50</v>
      </c>
      <c r="D4" s="16"/>
    </row>
    <row r="5" customFormat="false" ht="15" hidden="false" customHeight="false" outlineLevel="0" collapsed="false">
      <c r="A5" s="19" t="s">
        <v>48</v>
      </c>
      <c r="B5" s="9" t="s">
        <v>51</v>
      </c>
      <c r="C5" s="15" t="s">
        <v>50</v>
      </c>
      <c r="D5" s="16"/>
    </row>
    <row r="6" customFormat="false" ht="15" hidden="false" customHeight="false" outlineLevel="0" collapsed="false">
      <c r="A6" s="19" t="s">
        <v>48</v>
      </c>
      <c r="B6" s="9" t="s">
        <v>52</v>
      </c>
      <c r="C6" s="15" t="s">
        <v>50</v>
      </c>
      <c r="D6" s="16"/>
    </row>
    <row r="7" customFormat="false" ht="15" hidden="false" customHeight="false" outlineLevel="0" collapsed="false">
      <c r="A7" s="19" t="s">
        <v>48</v>
      </c>
      <c r="B7" s="9" t="s">
        <v>53</v>
      </c>
      <c r="C7" s="15" t="s">
        <v>50</v>
      </c>
      <c r="D7" s="16"/>
    </row>
    <row r="8" customFormat="false" ht="15" hidden="false" customHeight="false" outlineLevel="0" collapsed="false">
      <c r="A8" s="19" t="s">
        <v>54</v>
      </c>
      <c r="B8" s="9" t="s">
        <v>55</v>
      </c>
      <c r="C8" s="15" t="s">
        <v>50</v>
      </c>
      <c r="D8" s="16"/>
    </row>
    <row r="9" customFormat="false" ht="15" hidden="false" customHeight="false" outlineLevel="0" collapsed="false">
      <c r="A9" s="19" t="s">
        <v>54</v>
      </c>
      <c r="B9" s="9" t="s">
        <v>56</v>
      </c>
      <c r="C9" s="15" t="s">
        <v>50</v>
      </c>
      <c r="D9" s="16"/>
    </row>
    <row r="10" customFormat="false" ht="15" hidden="false" customHeight="false" outlineLevel="0" collapsed="false">
      <c r="A10" s="19" t="s">
        <v>54</v>
      </c>
      <c r="B10" s="9" t="s">
        <v>57</v>
      </c>
      <c r="C10" s="15" t="s">
        <v>50</v>
      </c>
      <c r="D10" s="16"/>
    </row>
    <row r="11" customFormat="false" ht="15" hidden="false" customHeight="false" outlineLevel="0" collapsed="false">
      <c r="A11" s="19" t="s">
        <v>58</v>
      </c>
      <c r="B11" s="9" t="s">
        <v>59</v>
      </c>
      <c r="C11" s="15" t="s">
        <v>50</v>
      </c>
      <c r="D11" s="16"/>
    </row>
    <row r="12" customFormat="false" ht="15" hidden="false" customHeight="false" outlineLevel="0" collapsed="false">
      <c r="A12" s="19" t="s">
        <v>58</v>
      </c>
      <c r="B12" s="9" t="s">
        <v>60</v>
      </c>
      <c r="C12" s="15" t="s">
        <v>50</v>
      </c>
      <c r="D12" s="16"/>
    </row>
    <row r="13" customFormat="false" ht="15" hidden="false" customHeight="false" outlineLevel="0" collapsed="false">
      <c r="A13" s="19" t="s">
        <v>58</v>
      </c>
      <c r="B13" s="9" t="s">
        <v>61</v>
      </c>
      <c r="C13" s="15" t="s">
        <v>50</v>
      </c>
      <c r="D13" s="16"/>
    </row>
    <row r="14" customFormat="false" ht="15" hidden="false" customHeight="false" outlineLevel="0" collapsed="false">
      <c r="A14" s="19" t="s">
        <v>58</v>
      </c>
      <c r="B14" s="9" t="s">
        <v>62</v>
      </c>
      <c r="C14" s="15" t="s">
        <v>50</v>
      </c>
      <c r="D14" s="16"/>
    </row>
    <row r="15" customFormat="false" ht="15" hidden="false" customHeight="false" outlineLevel="0" collapsed="false">
      <c r="A15" s="19" t="s">
        <v>63</v>
      </c>
      <c r="B15" s="9" t="s">
        <v>64</v>
      </c>
      <c r="C15" s="15" t="s">
        <v>50</v>
      </c>
      <c r="D15" s="16"/>
    </row>
    <row r="16" customFormat="false" ht="15" hidden="false" customHeight="false" outlineLevel="0" collapsed="false">
      <c r="A16" s="19" t="s">
        <v>63</v>
      </c>
      <c r="B16" s="9" t="s">
        <v>65</v>
      </c>
      <c r="C16" s="15" t="s">
        <v>50</v>
      </c>
      <c r="D16" s="16"/>
    </row>
    <row r="17" customFormat="false" ht="15" hidden="false" customHeight="false" outlineLevel="0" collapsed="false">
      <c r="A17" s="19" t="s">
        <v>63</v>
      </c>
      <c r="B17" s="9" t="s">
        <v>66</v>
      </c>
      <c r="C17" s="15" t="s">
        <v>50</v>
      </c>
      <c r="D17" s="16"/>
    </row>
    <row r="18" customFormat="false" ht="15" hidden="false" customHeight="false" outlineLevel="0" collapsed="false">
      <c r="A18" s="19" t="s">
        <v>63</v>
      </c>
      <c r="B18" s="9" t="s">
        <v>67</v>
      </c>
      <c r="C18" s="15" t="s">
        <v>50</v>
      </c>
      <c r="D18" s="16"/>
    </row>
    <row r="19" customFormat="false" ht="15" hidden="false" customHeight="false" outlineLevel="0" collapsed="false">
      <c r="A19" s="19" t="s">
        <v>68</v>
      </c>
      <c r="B19" s="9" t="s">
        <v>69</v>
      </c>
      <c r="C19" s="15" t="s">
        <v>50</v>
      </c>
      <c r="D19" s="16"/>
    </row>
    <row r="20" customFormat="false" ht="15" hidden="false" customHeight="false" outlineLevel="0" collapsed="false">
      <c r="A20" s="19" t="s">
        <v>68</v>
      </c>
      <c r="B20" s="9" t="s">
        <v>70</v>
      </c>
      <c r="C20" s="15" t="s">
        <v>50</v>
      </c>
      <c r="D20" s="16"/>
    </row>
    <row r="21" customFormat="false" ht="15" hidden="false" customHeight="false" outlineLevel="0" collapsed="false">
      <c r="A21" s="19" t="s">
        <v>68</v>
      </c>
      <c r="B21" s="9" t="s">
        <v>71</v>
      </c>
      <c r="C21" s="15" t="s">
        <v>50</v>
      </c>
      <c r="D21" s="16"/>
    </row>
    <row r="22" customFormat="false" ht="15" hidden="false" customHeight="false" outlineLevel="0" collapsed="false">
      <c r="A22" s="19" t="s">
        <v>68</v>
      </c>
      <c r="B22" s="9" t="s">
        <v>72</v>
      </c>
      <c r="C22" s="15" t="s">
        <v>50</v>
      </c>
      <c r="D22" s="16"/>
    </row>
    <row r="23" customFormat="false" ht="15" hidden="false" customHeight="false" outlineLevel="0" collapsed="false">
      <c r="A23" s="19" t="s">
        <v>73</v>
      </c>
      <c r="B23" s="9" t="s">
        <v>74</v>
      </c>
      <c r="C23" s="15" t="s">
        <v>50</v>
      </c>
      <c r="D23" s="16"/>
    </row>
    <row r="24" customFormat="false" ht="15" hidden="false" customHeight="false" outlineLevel="0" collapsed="false">
      <c r="A24" s="19" t="s">
        <v>73</v>
      </c>
      <c r="B24" s="9" t="s">
        <v>75</v>
      </c>
      <c r="C24" s="15" t="s">
        <v>50</v>
      </c>
      <c r="D24" s="16"/>
    </row>
    <row r="25" customFormat="false" ht="15" hidden="false" customHeight="false" outlineLevel="0" collapsed="false">
      <c r="A25" s="19" t="s">
        <v>73</v>
      </c>
      <c r="B25" s="9" t="s">
        <v>76</v>
      </c>
      <c r="C25" s="15" t="s">
        <v>50</v>
      </c>
      <c r="D25" s="16"/>
    </row>
    <row r="26" customFormat="false" ht="15" hidden="false" customHeight="false" outlineLevel="0" collapsed="false">
      <c r="A26" s="19" t="s">
        <v>73</v>
      </c>
      <c r="B26" s="9" t="s">
        <v>77</v>
      </c>
      <c r="C26" s="15" t="s">
        <v>50</v>
      </c>
      <c r="D26" s="16"/>
    </row>
    <row r="27" customFormat="false" ht="15" hidden="false" customHeight="false" outlineLevel="0" collapsed="false">
      <c r="A27" s="19" t="s">
        <v>73</v>
      </c>
      <c r="B27" s="9" t="s">
        <v>78</v>
      </c>
      <c r="C27" s="15" t="s">
        <v>50</v>
      </c>
      <c r="D27" s="16"/>
    </row>
    <row r="28" customFormat="false" ht="15" hidden="false" customHeight="false" outlineLevel="0" collapsed="false">
      <c r="A28" s="19" t="s">
        <v>79</v>
      </c>
      <c r="B28" s="9" t="s">
        <v>80</v>
      </c>
      <c r="C28" s="15" t="s">
        <v>50</v>
      </c>
      <c r="D28" s="16"/>
    </row>
    <row r="29" customFormat="false" ht="15" hidden="false" customHeight="false" outlineLevel="0" collapsed="false">
      <c r="A29" s="19" t="s">
        <v>79</v>
      </c>
      <c r="B29" s="9" t="s">
        <v>81</v>
      </c>
      <c r="C29" s="15" t="s">
        <v>50</v>
      </c>
      <c r="D29" s="16"/>
    </row>
    <row r="30" customFormat="false" ht="15" hidden="false" customHeight="false" outlineLevel="0" collapsed="false">
      <c r="A30" s="19" t="s">
        <v>82</v>
      </c>
      <c r="B30" s="9" t="s">
        <v>83</v>
      </c>
      <c r="C30" s="15" t="s">
        <v>50</v>
      </c>
      <c r="D30" s="16"/>
    </row>
    <row r="31" customFormat="false" ht="15" hidden="false" customHeight="false" outlineLevel="0" collapsed="false">
      <c r="A31" s="19" t="s">
        <v>82</v>
      </c>
      <c r="B31" s="9" t="s">
        <v>84</v>
      </c>
      <c r="C31" s="15" t="s">
        <v>50</v>
      </c>
      <c r="D31" s="16"/>
    </row>
    <row r="32" customFormat="false" ht="15" hidden="false" customHeight="false" outlineLevel="0" collapsed="false">
      <c r="A32" s="19" t="s">
        <v>82</v>
      </c>
      <c r="B32" s="9" t="s">
        <v>85</v>
      </c>
      <c r="C32" s="15" t="s">
        <v>50</v>
      </c>
      <c r="D32" s="16"/>
    </row>
    <row r="34" customFormat="false" ht="15" hidden="false" customHeight="false" outlineLevel="0" collapsed="false">
      <c r="A34" s="5" t="s">
        <v>39</v>
      </c>
      <c r="B34" s="6"/>
      <c r="C34" s="6"/>
      <c r="D34" s="6"/>
    </row>
    <row r="35" customFormat="false" ht="15" hidden="false" customHeight="false" outlineLevel="0" collapsed="false">
      <c r="A35" s="12" t="s">
        <v>86</v>
      </c>
      <c r="B35" s="17" t="n">
        <f aca="false">COUNTIF(C4:C32,"Yes")</f>
        <v>0</v>
      </c>
    </row>
    <row r="36" customFormat="false" ht="15" hidden="false" customHeight="false" outlineLevel="0" collapsed="false">
      <c r="A36" s="12" t="s">
        <v>87</v>
      </c>
      <c r="B36" s="17" t="n">
        <f aca="false">COUNTA(A4:A32)</f>
        <v>29</v>
      </c>
    </row>
    <row r="37" customFormat="false" ht="15" hidden="false" customHeight="false" outlineLevel="0" collapsed="false">
      <c r="A37" s="12" t="s">
        <v>88</v>
      </c>
      <c r="B37" s="18" t="n">
        <f aca="false">COUNTIF(C4:C32,"Yes")/COUNTA(A4:A32)</f>
        <v>0</v>
      </c>
    </row>
  </sheetData>
  <conditionalFormatting sqref="C4:C32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2">
      <formula>"No"</formula>
    </cfRule>
  </conditionalFormatting>
  <conditionalFormatting sqref="B37">
    <cfRule type="cellIs" priority="4" operator="greaterThanOrEqual" aboveAverage="0" equalAverage="0" bottom="0" percent="0" rank="0" text="" dxfId="0">
      <formula>0.8</formula>
    </cfRule>
    <cfRule type="cellIs" priority="5" operator="lessThan" aboveAverage="0" equalAverage="0" bottom="0" percent="0" rank="0" text="" dxfId="2">
      <formula>0.5</formula>
    </cfRule>
    <cfRule type="cellIs" priority="6" operator="between" aboveAverage="0" equalAverage="0" bottom="0" percent="0" rank="0" text="" dxfId="1">
      <formula>0.5</formula>
      <formula>0.7999</formula>
    </cfRule>
  </conditionalFormatting>
  <dataValidations count="1">
    <dataValidation allowBlank="true" errorStyle="stop" operator="between" showDropDown="false" showErrorMessage="false" showInputMessage="false" sqref="C4:C32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15" hidden="false" customHeight="false" outlineLevel="0" collapsed="false">
      <c r="A3" s="7" t="s">
        <v>91</v>
      </c>
      <c r="B3" s="7" t="s">
        <v>92</v>
      </c>
      <c r="C3" s="7" t="s">
        <v>35</v>
      </c>
      <c r="D3" s="7" t="s">
        <v>93</v>
      </c>
    </row>
    <row r="4" customFormat="false" ht="15" hidden="false" customHeight="false" outlineLevel="0" collapsed="false">
      <c r="A4" s="9" t="s">
        <v>94</v>
      </c>
      <c r="B4" s="17" t="s">
        <v>95</v>
      </c>
      <c r="C4" s="15" t="s">
        <v>96</v>
      </c>
      <c r="D4" s="9" t="s">
        <v>97</v>
      </c>
    </row>
    <row r="5" customFormat="false" ht="23.85" hidden="false" customHeight="false" outlineLevel="0" collapsed="false">
      <c r="A5" s="9" t="s">
        <v>98</v>
      </c>
      <c r="B5" s="17" t="s">
        <v>95</v>
      </c>
      <c r="C5" s="15" t="s">
        <v>96</v>
      </c>
      <c r="D5" s="9" t="s">
        <v>99</v>
      </c>
    </row>
    <row r="6" customFormat="false" ht="15" hidden="false" customHeight="false" outlineLevel="0" collapsed="false">
      <c r="A6" s="9" t="s">
        <v>100</v>
      </c>
      <c r="B6" s="17" t="s">
        <v>95</v>
      </c>
      <c r="C6" s="15" t="s">
        <v>96</v>
      </c>
      <c r="D6" s="9" t="s">
        <v>101</v>
      </c>
    </row>
    <row r="7" customFormat="false" ht="15" hidden="false" customHeight="false" outlineLevel="0" collapsed="false">
      <c r="A7" s="9" t="s">
        <v>102</v>
      </c>
      <c r="B7" s="17" t="s">
        <v>95</v>
      </c>
      <c r="C7" s="15" t="s">
        <v>96</v>
      </c>
      <c r="D7" s="9" t="s">
        <v>103</v>
      </c>
    </row>
    <row r="8" customFormat="false" ht="15" hidden="false" customHeight="false" outlineLevel="0" collapsed="false">
      <c r="A8" s="9" t="s">
        <v>104</v>
      </c>
      <c r="B8" s="17" t="s">
        <v>95</v>
      </c>
      <c r="C8" s="15" t="s">
        <v>96</v>
      </c>
      <c r="D8" s="9" t="s">
        <v>105</v>
      </c>
    </row>
    <row r="9" customFormat="false" ht="15" hidden="false" customHeight="false" outlineLevel="0" collapsed="false">
      <c r="A9" s="9" t="s">
        <v>106</v>
      </c>
      <c r="B9" s="17" t="s">
        <v>95</v>
      </c>
      <c r="C9" s="15" t="s">
        <v>96</v>
      </c>
      <c r="D9" s="9" t="s">
        <v>105</v>
      </c>
    </row>
    <row r="10" customFormat="false" ht="15" hidden="false" customHeight="false" outlineLevel="0" collapsed="false">
      <c r="A10" s="9" t="s">
        <v>107</v>
      </c>
      <c r="B10" s="17" t="s">
        <v>95</v>
      </c>
      <c r="C10" s="15" t="s">
        <v>96</v>
      </c>
      <c r="D10" s="9" t="s">
        <v>108</v>
      </c>
    </row>
    <row r="11" customFormat="false" ht="15" hidden="false" customHeight="false" outlineLevel="0" collapsed="false">
      <c r="A11" s="9" t="s">
        <v>109</v>
      </c>
      <c r="B11" s="17" t="s">
        <v>95</v>
      </c>
      <c r="C11" s="15" t="s">
        <v>96</v>
      </c>
      <c r="D11" s="9" t="s">
        <v>110</v>
      </c>
    </row>
    <row r="12" customFormat="false" ht="15" hidden="false" customHeight="false" outlineLevel="0" collapsed="false">
      <c r="A12" s="9" t="s">
        <v>111</v>
      </c>
      <c r="B12" s="17" t="s">
        <v>112</v>
      </c>
      <c r="C12" s="15" t="s">
        <v>96</v>
      </c>
      <c r="D12" s="9" t="s">
        <v>113</v>
      </c>
    </row>
    <row r="13" customFormat="false" ht="15" hidden="false" customHeight="false" outlineLevel="0" collapsed="false">
      <c r="A13" s="9" t="s">
        <v>114</v>
      </c>
      <c r="B13" s="17" t="s">
        <v>112</v>
      </c>
      <c r="C13" s="15" t="s">
        <v>96</v>
      </c>
      <c r="D13" s="9" t="s">
        <v>115</v>
      </c>
    </row>
    <row r="14" customFormat="false" ht="15" hidden="false" customHeight="false" outlineLevel="0" collapsed="false">
      <c r="A14" s="9" t="s">
        <v>116</v>
      </c>
      <c r="B14" s="17" t="s">
        <v>95</v>
      </c>
      <c r="C14" s="15" t="s">
        <v>96</v>
      </c>
      <c r="D14" s="9" t="s">
        <v>117</v>
      </c>
    </row>
    <row r="15" customFormat="false" ht="15" hidden="false" customHeight="false" outlineLevel="0" collapsed="false">
      <c r="A15" s="9" t="s">
        <v>118</v>
      </c>
      <c r="B15" s="17" t="s">
        <v>95</v>
      </c>
      <c r="C15" s="15" t="s">
        <v>96</v>
      </c>
      <c r="D15" s="9" t="s">
        <v>119</v>
      </c>
    </row>
    <row r="17" customFormat="false" ht="15" hidden="false" customHeight="false" outlineLevel="0" collapsed="false">
      <c r="A17" s="5" t="s">
        <v>120</v>
      </c>
      <c r="B17" s="6"/>
      <c r="C17" s="6"/>
      <c r="D17" s="6"/>
    </row>
    <row r="18" customFormat="false" ht="15" hidden="false" customHeight="false" outlineLevel="0" collapsed="false">
      <c r="A18" s="12" t="s">
        <v>121</v>
      </c>
      <c r="B18" s="17" t="n">
        <f aca="false">COUNTIFS(B4:B15,"Yes",C4:C15,"Done")</f>
        <v>0</v>
      </c>
    </row>
    <row r="19" customFormat="false" ht="15" hidden="false" customHeight="false" outlineLevel="0" collapsed="false">
      <c r="A19" s="12" t="s">
        <v>122</v>
      </c>
      <c r="B19" s="17" t="n">
        <f aca="false">COUNTIF(B4:B15,"Yes")</f>
        <v>10</v>
      </c>
    </row>
    <row r="20" customFormat="false" ht="15" hidden="false" customHeight="false" outlineLevel="0" collapsed="false">
      <c r="A20" s="12" t="s">
        <v>123</v>
      </c>
      <c r="B20" s="18" t="n">
        <f aca="false">COUNTIFS(B4:B15,"Yes",C4:C15,"Done")/COUNTIF(B4:B15,"Yes")</f>
        <v>0</v>
      </c>
    </row>
  </sheetData>
  <conditionalFormatting sqref="C4:C15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3">
      <formula>"N/A"</formula>
    </cfRule>
    <cfRule type="cellIs" priority="4" operator="equal" aboveAverage="0" equalAverage="0" bottom="0" percent="0" rank="0" text="" dxfId="2">
      <formula>"Not done"</formula>
    </cfRule>
  </conditionalFormatting>
  <conditionalFormatting sqref="B20">
    <cfRule type="cellIs" priority="5" operator="greaterThanOrEqual" aboveAverage="0" equalAverage="0" bottom="0" percent="0" rank="0" text="" dxfId="0">
      <formula>0.8</formula>
    </cfRule>
    <cfRule type="cellIs" priority="6" operator="lessThan" aboveAverage="0" equalAverage="0" bottom="0" percent="0" rank="0" text="" dxfId="2">
      <formula>0.5</formula>
    </cfRule>
    <cfRule type="cellIs" priority="7" operator="between" aboveAverage="0" equalAverage="0" bottom="0" percent="0" rank="0" text="" dxfId="1">
      <formula>0.5</formula>
      <formula>0.7999</formula>
    </cfRule>
  </conditionalFormatting>
  <dataValidations count="1">
    <dataValidation allowBlank="true" errorStyle="stop" operator="between" showDropDown="false" showErrorMessage="false" showInputMessage="false" sqref="C4:C15" type="list">
      <formula1>"Not done,Done,N/A"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66"/>
  </cols>
  <sheetData>
    <row r="1" customFormat="false" ht="18.5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3" customFormat="false" ht="15" hidden="false" customHeight="false" outlineLevel="0" collapsed="false">
      <c r="A3" s="7" t="s">
        <v>126</v>
      </c>
      <c r="B3" s="7" t="s">
        <v>127</v>
      </c>
      <c r="C3" s="7" t="s">
        <v>128</v>
      </c>
    </row>
    <row r="4" customFormat="false" ht="15" hidden="false" customHeight="false" outlineLevel="0" collapsed="false">
      <c r="A4" s="20" t="s">
        <v>129</v>
      </c>
      <c r="B4" s="9" t="s">
        <v>130</v>
      </c>
      <c r="C4" s="21" t="s">
        <v>131</v>
      </c>
    </row>
    <row r="5" customFormat="false" ht="15" hidden="false" customHeight="false" outlineLevel="0" collapsed="false">
      <c r="A5" s="20" t="s">
        <v>132</v>
      </c>
      <c r="B5" s="9" t="s">
        <v>133</v>
      </c>
      <c r="C5" s="21" t="s">
        <v>134</v>
      </c>
    </row>
    <row r="6" customFormat="false" ht="15" hidden="false" customHeight="false" outlineLevel="0" collapsed="false">
      <c r="A6" s="20" t="s">
        <v>135</v>
      </c>
      <c r="B6" s="9" t="s">
        <v>136</v>
      </c>
      <c r="C6" s="21" t="s">
        <v>137</v>
      </c>
    </row>
    <row r="7" customFormat="false" ht="23.85" hidden="false" customHeight="false" outlineLevel="0" collapsed="false">
      <c r="A7" s="20" t="s">
        <v>138</v>
      </c>
      <c r="B7" s="9" t="s">
        <v>139</v>
      </c>
      <c r="C7" s="21" t="s">
        <v>140</v>
      </c>
    </row>
    <row r="8" customFormat="false" ht="15" hidden="false" customHeight="false" outlineLevel="0" collapsed="false">
      <c r="A8" s="20" t="s">
        <v>141</v>
      </c>
      <c r="B8" s="9" t="s">
        <v>142</v>
      </c>
      <c r="C8" s="21" t="s">
        <v>143</v>
      </c>
    </row>
    <row r="9" customFormat="false" ht="15" hidden="false" customHeight="false" outlineLevel="0" collapsed="false">
      <c r="A9" s="20" t="s">
        <v>144</v>
      </c>
      <c r="B9" s="9" t="s">
        <v>145</v>
      </c>
      <c r="C9" s="21" t="s">
        <v>146</v>
      </c>
    </row>
    <row r="10" customFormat="false" ht="23.85" hidden="false" customHeight="false" outlineLevel="0" collapsed="false">
      <c r="A10" s="20" t="s">
        <v>147</v>
      </c>
      <c r="B10" s="9" t="s">
        <v>148</v>
      </c>
      <c r="C10" s="21" t="s">
        <v>149</v>
      </c>
    </row>
    <row r="11" customFormat="false" ht="23.85" hidden="false" customHeight="false" outlineLevel="0" collapsed="false">
      <c r="A11" s="20" t="s">
        <v>150</v>
      </c>
      <c r="B11" s="9" t="s">
        <v>151</v>
      </c>
      <c r="C11" s="21" t="s">
        <v>152</v>
      </c>
    </row>
    <row r="12" customFormat="false" ht="23.85" hidden="false" customHeight="false" outlineLevel="0" collapsed="false">
      <c r="A12" s="20" t="s">
        <v>153</v>
      </c>
      <c r="B12" s="9" t="s">
        <v>154</v>
      </c>
      <c r="C12" s="21" t="s">
        <v>155</v>
      </c>
    </row>
    <row r="13" customFormat="false" ht="15" hidden="false" customHeight="false" outlineLevel="0" collapsed="false">
      <c r="A13" s="20" t="s">
        <v>156</v>
      </c>
      <c r="B13" s="9" t="s">
        <v>157</v>
      </c>
      <c r="C13" s="21" t="s">
        <v>158</v>
      </c>
    </row>
    <row r="14" customFormat="false" ht="15" hidden="false" customHeight="false" outlineLevel="0" collapsed="false">
      <c r="A14" s="20" t="s">
        <v>159</v>
      </c>
      <c r="B14" s="9" t="s">
        <v>160</v>
      </c>
      <c r="C14" s="21" t="s">
        <v>161</v>
      </c>
    </row>
    <row r="15" customFormat="false" ht="15" hidden="false" customHeight="false" outlineLevel="0" collapsed="false">
      <c r="A15" s="20" t="s">
        <v>162</v>
      </c>
      <c r="B15" s="9" t="s">
        <v>163</v>
      </c>
      <c r="C15" s="21" t="s">
        <v>164</v>
      </c>
    </row>
    <row r="16" customFormat="false" ht="23.85" hidden="false" customHeight="false" outlineLevel="0" collapsed="false">
      <c r="A16" s="20" t="s">
        <v>165</v>
      </c>
      <c r="B16" s="9" t="s">
        <v>166</v>
      </c>
      <c r="C16" s="21" t="s">
        <v>167</v>
      </c>
    </row>
    <row r="17" customFormat="false" ht="15" hidden="false" customHeight="false" outlineLevel="0" collapsed="false">
      <c r="A17" s="20" t="s">
        <v>168</v>
      </c>
      <c r="B17" s="9" t="s">
        <v>169</v>
      </c>
      <c r="C17" s="21" t="s">
        <v>170</v>
      </c>
    </row>
    <row r="18" customFormat="false" ht="15" hidden="false" customHeight="false" outlineLevel="0" collapsed="false">
      <c r="A18" s="20" t="s">
        <v>171</v>
      </c>
      <c r="B18" s="9" t="s">
        <v>172</v>
      </c>
      <c r="C18" s="21" t="s">
        <v>173</v>
      </c>
    </row>
    <row r="19" customFormat="false" ht="15" hidden="false" customHeight="false" outlineLevel="0" collapsed="false">
      <c r="A19" s="20" t="s">
        <v>174</v>
      </c>
      <c r="B19" s="9" t="s">
        <v>175</v>
      </c>
      <c r="C19" s="21" t="s">
        <v>176</v>
      </c>
    </row>
    <row r="20" customFormat="false" ht="15" hidden="false" customHeight="false" outlineLevel="0" collapsed="false">
      <c r="A20" s="20" t="s">
        <v>177</v>
      </c>
      <c r="B20" s="9" t="s">
        <v>178</v>
      </c>
      <c r="C20" s="21" t="s">
        <v>179</v>
      </c>
    </row>
    <row r="21" customFormat="false" ht="23.85" hidden="false" customHeight="false" outlineLevel="0" collapsed="false">
      <c r="A21" s="20" t="s">
        <v>180</v>
      </c>
      <c r="B21" s="9" t="s">
        <v>181</v>
      </c>
      <c r="C21" s="21" t="s">
        <v>182</v>
      </c>
    </row>
    <row r="22" customFormat="false" ht="23.85" hidden="false" customHeight="false" outlineLevel="0" collapsed="false">
      <c r="A22" s="20" t="s">
        <v>183</v>
      </c>
      <c r="B22" s="9" t="s">
        <v>184</v>
      </c>
      <c r="C22" s="21" t="s">
        <v>185</v>
      </c>
    </row>
    <row r="23" customFormat="false" ht="23.85" hidden="false" customHeight="false" outlineLevel="0" collapsed="false">
      <c r="A23" s="20" t="s">
        <v>186</v>
      </c>
      <c r="B23" s="9" t="s">
        <v>187</v>
      </c>
      <c r="C23" s="21" t="s">
        <v>188</v>
      </c>
    </row>
    <row r="24" customFormat="false" ht="15" hidden="false" customHeight="false" outlineLevel="0" collapsed="false">
      <c r="A24" s="20" t="s">
        <v>189</v>
      </c>
      <c r="B24" s="9" t="s">
        <v>190</v>
      </c>
      <c r="C24" s="21" t="s">
        <v>191</v>
      </c>
    </row>
    <row r="25" customFormat="false" ht="15" hidden="false" customHeight="false" outlineLevel="0" collapsed="false">
      <c r="A25" s="20" t="s">
        <v>192</v>
      </c>
      <c r="B25" s="9" t="s">
        <v>193</v>
      </c>
      <c r="C25" s="21" t="s">
        <v>194</v>
      </c>
    </row>
    <row r="26" customFormat="false" ht="23.85" hidden="false" customHeight="false" outlineLevel="0" collapsed="false">
      <c r="A26" s="20" t="s">
        <v>192</v>
      </c>
      <c r="B26" s="9" t="s">
        <v>195</v>
      </c>
      <c r="C26" s="21" t="s">
        <v>196</v>
      </c>
    </row>
    <row r="27" customFormat="false" ht="15" hidden="false" customHeight="false" outlineLevel="0" collapsed="false">
      <c r="A27" s="20" t="s">
        <v>192</v>
      </c>
      <c r="B27" s="9" t="s">
        <v>197</v>
      </c>
      <c r="C27" s="21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12"/>
  </cols>
  <sheetData>
    <row r="1" customFormat="false" ht="18.55" hidden="false" customHeight="false" outlineLevel="0" collapsed="false">
      <c r="A1" s="1" t="s">
        <v>199</v>
      </c>
    </row>
    <row r="3" customFormat="false" ht="15" hidden="false" customHeight="false" outlineLevel="0" collapsed="false">
      <c r="A3" s="7" t="s">
        <v>200</v>
      </c>
      <c r="B3" s="7" t="s">
        <v>201</v>
      </c>
      <c r="C3" s="7" t="s">
        <v>202</v>
      </c>
      <c r="D3" s="7" t="s">
        <v>7</v>
      </c>
    </row>
    <row r="4" customFormat="false" ht="15" hidden="false" customHeight="false" outlineLevel="0" collapsed="false">
      <c r="A4" s="9" t="s">
        <v>203</v>
      </c>
      <c r="B4" s="9" t="s">
        <v>204</v>
      </c>
      <c r="C4" s="9" t="s">
        <v>205</v>
      </c>
      <c r="D4" s="17" t="s">
        <v>206</v>
      </c>
    </row>
    <row r="5" customFormat="false" ht="15" hidden="false" customHeight="false" outlineLevel="0" collapsed="false">
      <c r="A5" s="9" t="s">
        <v>207</v>
      </c>
      <c r="B5" s="9" t="s">
        <v>208</v>
      </c>
      <c r="C5" s="9" t="s">
        <v>209</v>
      </c>
      <c r="D5" s="17" t="s">
        <v>54</v>
      </c>
    </row>
    <row r="6" customFormat="false" ht="15" hidden="false" customHeight="false" outlineLevel="0" collapsed="false">
      <c r="A6" s="9" t="s">
        <v>210</v>
      </c>
      <c r="B6" s="9" t="s">
        <v>211</v>
      </c>
      <c r="C6" s="9" t="s">
        <v>212</v>
      </c>
      <c r="D6" s="17" t="s">
        <v>48</v>
      </c>
    </row>
    <row r="7" customFormat="false" ht="15" hidden="false" customHeight="false" outlineLevel="0" collapsed="false">
      <c r="A7" s="9" t="s">
        <v>213</v>
      </c>
      <c r="B7" s="9" t="s">
        <v>214</v>
      </c>
      <c r="C7" s="9" t="s">
        <v>215</v>
      </c>
      <c r="D7" s="17" t="s">
        <v>58</v>
      </c>
    </row>
    <row r="8" customFormat="false" ht="15" hidden="false" customHeight="false" outlineLevel="0" collapsed="false">
      <c r="A8" s="9" t="s">
        <v>216</v>
      </c>
      <c r="B8" s="9" t="s">
        <v>217</v>
      </c>
      <c r="C8" s="9" t="s">
        <v>218</v>
      </c>
      <c r="D8" s="17" t="s">
        <v>219</v>
      </c>
    </row>
    <row r="9" customFormat="false" ht="15" hidden="false" customHeight="false" outlineLevel="0" collapsed="false">
      <c r="A9" s="9" t="s">
        <v>220</v>
      </c>
      <c r="B9" s="9" t="s">
        <v>221</v>
      </c>
      <c r="C9" s="9" t="s">
        <v>222</v>
      </c>
      <c r="D9" s="17" t="s">
        <v>223</v>
      </c>
    </row>
    <row r="10" customFormat="false" ht="15" hidden="false" customHeight="false" outlineLevel="0" collapsed="false">
      <c r="A10" s="9" t="s">
        <v>224</v>
      </c>
      <c r="B10" s="9" t="s">
        <v>225</v>
      </c>
      <c r="C10" s="9" t="s">
        <v>226</v>
      </c>
      <c r="D10" s="17" t="s">
        <v>58</v>
      </c>
    </row>
    <row r="11" customFormat="false" ht="15" hidden="false" customHeight="false" outlineLevel="0" collapsed="false">
      <c r="A11" s="9" t="s">
        <v>227</v>
      </c>
      <c r="B11" s="9" t="s">
        <v>228</v>
      </c>
      <c r="C11" s="9" t="s">
        <v>229</v>
      </c>
      <c r="D11" s="17" t="s">
        <v>230</v>
      </c>
    </row>
    <row r="12" customFormat="false" ht="15" hidden="false" customHeight="false" outlineLevel="0" collapsed="false">
      <c r="A12" s="9" t="s">
        <v>231</v>
      </c>
      <c r="B12" s="9" t="s">
        <v>232</v>
      </c>
      <c r="C12" s="9" t="s">
        <v>233</v>
      </c>
      <c r="D12" s="17" t="s">
        <v>63</v>
      </c>
    </row>
    <row r="13" customFormat="false" ht="15" hidden="false" customHeight="false" outlineLevel="0" collapsed="false">
      <c r="A13" s="9" t="s">
        <v>234</v>
      </c>
      <c r="B13" s="9" t="s">
        <v>235</v>
      </c>
      <c r="C13" s="9" t="s">
        <v>236</v>
      </c>
      <c r="D13" s="17" t="s">
        <v>63</v>
      </c>
    </row>
    <row r="14" customFormat="false" ht="15" hidden="false" customHeight="false" outlineLevel="0" collapsed="false">
      <c r="A14" s="9" t="s">
        <v>237</v>
      </c>
      <c r="B14" s="9" t="s">
        <v>238</v>
      </c>
      <c r="C14" s="9" t="s">
        <v>239</v>
      </c>
      <c r="D14" s="17" t="s">
        <v>63</v>
      </c>
    </row>
    <row r="15" customFormat="false" ht="23.85" hidden="false" customHeight="false" outlineLevel="0" collapsed="false">
      <c r="A15" s="9" t="s">
        <v>240</v>
      </c>
      <c r="B15" s="9" t="s">
        <v>241</v>
      </c>
      <c r="C15" s="9" t="s">
        <v>242</v>
      </c>
      <c r="D15" s="17" t="s">
        <v>68</v>
      </c>
    </row>
    <row r="16" customFormat="false" ht="15" hidden="false" customHeight="false" outlineLevel="0" collapsed="false">
      <c r="A16" s="9" t="s">
        <v>243</v>
      </c>
      <c r="B16" s="9" t="s">
        <v>244</v>
      </c>
      <c r="C16" s="9" t="s">
        <v>245</v>
      </c>
      <c r="D16" s="17" t="s">
        <v>68</v>
      </c>
    </row>
    <row r="17" customFormat="false" ht="15" hidden="false" customHeight="false" outlineLevel="0" collapsed="false">
      <c r="A17" s="9" t="s">
        <v>246</v>
      </c>
      <c r="B17" s="9" t="s">
        <v>247</v>
      </c>
      <c r="C17" s="9" t="s">
        <v>248</v>
      </c>
      <c r="D17" s="17" t="s">
        <v>249</v>
      </c>
    </row>
    <row r="18" customFormat="false" ht="15" hidden="false" customHeight="false" outlineLevel="0" collapsed="false">
      <c r="A18" s="9" t="s">
        <v>250</v>
      </c>
      <c r="B18" s="9" t="s">
        <v>251</v>
      </c>
      <c r="C18" s="9" t="s">
        <v>252</v>
      </c>
      <c r="D18" s="17" t="s">
        <v>73</v>
      </c>
    </row>
    <row r="19" customFormat="false" ht="15" hidden="false" customHeight="false" outlineLevel="0" collapsed="false">
      <c r="A19" s="9" t="s">
        <v>253</v>
      </c>
      <c r="B19" s="9" t="s">
        <v>254</v>
      </c>
      <c r="C19" s="9" t="s">
        <v>255</v>
      </c>
      <c r="D19" s="17" t="s">
        <v>73</v>
      </c>
    </row>
    <row r="20" customFormat="false" ht="15" hidden="false" customHeight="false" outlineLevel="0" collapsed="false">
      <c r="A20" s="9" t="s">
        <v>256</v>
      </c>
      <c r="B20" s="9" t="s">
        <v>257</v>
      </c>
      <c r="C20" s="9" t="s">
        <v>258</v>
      </c>
      <c r="D20" s="17" t="s">
        <v>82</v>
      </c>
    </row>
    <row r="21" customFormat="false" ht="15" hidden="false" customHeight="false" outlineLevel="0" collapsed="false">
      <c r="A21" s="9" t="s">
        <v>259</v>
      </c>
      <c r="B21" s="9" t="s">
        <v>260</v>
      </c>
      <c r="C21" s="9" t="s">
        <v>261</v>
      </c>
      <c r="D21" s="17" t="s">
        <v>82</v>
      </c>
    </row>
    <row r="22" customFormat="false" ht="15" hidden="false" customHeight="false" outlineLevel="0" collapsed="false">
      <c r="A22" s="9" t="s">
        <v>262</v>
      </c>
      <c r="B22" s="9" t="s">
        <v>263</v>
      </c>
      <c r="C22" s="9" t="s">
        <v>264</v>
      </c>
      <c r="D22" s="1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2026-06-07T17:46:45Z</dcterms:created>
  <dc:creator>openpyxl</dc:creator>
  <dc:description/>
  <dc:language>en-US</dc:language>
  <cp:lastModifiedBy/>
  <dcterms:modified xsi:type="dcterms:W3CDTF">2026-06-07T17:46:45Z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