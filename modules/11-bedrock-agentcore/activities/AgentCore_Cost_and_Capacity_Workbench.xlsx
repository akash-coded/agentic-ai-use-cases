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Token Cost" sheetId="2" state="visible" r:id="rId4"/>
    <sheet name="Routing" sheetId="3" state="visible" r:id="rId5"/>
    <sheet name="Pool Sizing" sheetId="4" state="visible" r:id="rId6"/>
    <sheet name="Throughpu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<sst xmlns="http://schemas.openxmlformats.org/spreadsheetml/2006/main" count="130" uniqueCount="109">
  <si>
    <t xml:space="preserve">Cost &amp; Capacity Workbench — Assumptions</t>
  </si>
  <si>
    <t xml:space="preserve">Blue = edit me. Yellow = confirm before relying. Pricing is current as of June 2026 but can change — verify.</t>
  </si>
  <si>
    <t xml:space="preserve">Parameter</t>
  </si>
  <si>
    <t xml:space="preserve">Value</t>
  </si>
  <si>
    <t xml:space="preserve">Unit</t>
  </si>
  <si>
    <t xml:space="preserve">Source / note</t>
  </si>
  <si>
    <t xml:space="preserve">Haiku 4.5 — input price</t>
  </si>
  <si>
    <t xml:space="preserve">$/1k tok</t>
  </si>
  <si>
    <t xml:space="preserve">Source: AWS Bedrock on-demand, us-east-1, Jun 2026 (Anthropic + AWS pricing pages). Verify before relying.</t>
  </si>
  <si>
    <t xml:space="preserve">Haiku 4.5 — output price</t>
  </si>
  <si>
    <t xml:space="preserve">Sonnet 4.5 — input price</t>
  </si>
  <si>
    <t xml:space="preserve">Sonnet 4.5 — output price</t>
  </si>
  <si>
    <t xml:space="preserve">Cross-region multiplier</t>
  </si>
  <si>
    <t xml:space="preserve">x</t>
  </si>
  <si>
    <t xml:space="preserve">us.* inference profile adds ~10% over base on-demand.</t>
  </si>
  <si>
    <t xml:space="preserve">Prompt-cache discount on cached input</t>
  </si>
  <si>
    <t xml:space="preserve">fraction</t>
  </si>
  <si>
    <t xml:space="preserve">Up to 90% off the cached portion of input tokens.</t>
  </si>
  <si>
    <t xml:space="preserve">Days per month</t>
  </si>
  <si>
    <t xml:space="preserve">days</t>
  </si>
  <si>
    <t xml:space="preserve">Used to annualise daily cost.</t>
  </si>
  <si>
    <t xml:space="preserve">Token Cost Estimator</t>
  </si>
  <si>
    <t xml:space="preserve">Set the five blue inputs. Outputs update on recalc. Cache applies to input tokens only; cross-region applies to both.</t>
  </si>
  <si>
    <t xml:space="preserve">Input</t>
  </si>
  <si>
    <t xml:space="preserve">Requests per day</t>
  </si>
  <si>
    <t xml:space="preserve">requests</t>
  </si>
  <si>
    <t xml:space="preserve">Avg input tokens / request</t>
  </si>
  <si>
    <t xml:space="preserve">tokens</t>
  </si>
  <si>
    <t xml:space="preserve">Avg output tokens / request</t>
  </si>
  <si>
    <t xml:space="preserve">% routed to Haiku (cheap)</t>
  </si>
  <si>
    <t xml:space="preserve">share</t>
  </si>
  <si>
    <t xml:space="preserve">Cache hit rate (input tokens)</t>
  </si>
  <si>
    <t xml:space="preserve">Calculated</t>
  </si>
  <si>
    <t xml:space="preserve">Requests/day to Haiku</t>
  </si>
  <si>
    <t xml:space="preserve">Requests/day to Sonnet</t>
  </si>
  <si>
    <t xml:space="preserve">Effective input price factor (cache)</t>
  </si>
  <si>
    <t xml:space="preserve">Haiku — daily cost</t>
  </si>
  <si>
    <t xml:space="preserve">Sonnet — daily cost</t>
  </si>
  <si>
    <t xml:space="preserve">Total daily cost</t>
  </si>
  <si>
    <t xml:space="preserve">Estimated monthly cost</t>
  </si>
  <si>
    <t xml:space="preserve">Cost per request</t>
  </si>
  <si>
    <t xml:space="preserve">Total tokens / day</t>
  </si>
  <si>
    <t xml:space="preserve">Blended cost per 1k tokens</t>
  </si>
  <si>
    <t xml:space="preserve">Routing Scenarios — the cost of model choice</t>
  </si>
  <si>
    <t xml:space="preserve">Same traffic and tokens as 'Token Cost'; only the Haiku share changes. Shows what cheap-first routing saves.</t>
  </si>
  <si>
    <t xml:space="preserve">Scenario</t>
  </si>
  <si>
    <t xml:space="preserve">% to Haiku</t>
  </si>
  <si>
    <t xml:space="preserve">Monthly cost</t>
  </si>
  <si>
    <t xml:space="preserve">Saved vs all-Sonnet</t>
  </si>
  <si>
    <t xml:space="preserve">All Sonnet (strong)</t>
  </si>
  <si>
    <t xml:space="preserve">Blended (current setting)</t>
  </si>
  <si>
    <t xml:space="preserve">All Haiku (cheap)</t>
  </si>
  <si>
    <t xml:space="preserve">Takeaway</t>
  </si>
  <si>
    <t xml:space="preserve">Orchestrator Pool Sizing</t>
  </si>
  <si>
    <t xml:space="preserve">Back-of-envelope (Little's Law). Ties to POOL_MAX_SIZE / POOL_TTL_SEC in notebook 07.</t>
  </si>
  <si>
    <t xml:space="preserve">Note</t>
  </si>
  <si>
    <t xml:space="preserve">Peak concurrent conversations</t>
  </si>
  <si>
    <t xml:space="preserve">convos</t>
  </si>
  <si>
    <t xml:space="preserve">Observed or projected peak.</t>
  </si>
  <si>
    <t xml:space="preserve">Mean conversation lifetime</t>
  </si>
  <si>
    <t xml:space="preserve">min</t>
  </si>
  <si>
    <t xml:space="preserve">From first to last turn of a conversation.</t>
  </si>
  <si>
    <t xml:space="preserve">New conversations per minute</t>
  </si>
  <si>
    <t xml:space="preserve">per min</t>
  </si>
  <si>
    <t xml:space="preserve">Arrival rate at peak.</t>
  </si>
  <si>
    <t xml:space="preserve">TTL (idle eviction)</t>
  </si>
  <si>
    <t xml:space="preserve">Same as POOL_TTL_SEC / 60 in notebook 07.</t>
  </si>
  <si>
    <t xml:space="preserve">Memory per cached orchestrator</t>
  </si>
  <si>
    <t xml:space="preserve">MB</t>
  </si>
  <si>
    <t xml:space="preserve">Rough; measure in your runtime.</t>
  </si>
  <si>
    <t xml:space="preserve">Safety buffer</t>
  </si>
  <si>
    <t xml:space="preserve">Headroom over the driver.</t>
  </si>
  <si>
    <t xml:space="preserve">Recommended sizing</t>
  </si>
  <si>
    <t xml:space="preserve">Active conversations (arrival x lifetime)</t>
  </si>
  <si>
    <t xml:space="preserve">Concurrent live conversations.</t>
  </si>
  <si>
    <t xml:space="preserve">Lingering cached entries (arrival x TTL)</t>
  </si>
  <si>
    <t xml:space="preserve">Entries kept warm until TTL eviction.</t>
  </si>
  <si>
    <t xml:space="preserve">Sizing driver</t>
  </si>
  <si>
    <t xml:space="preserve">Largest of peak / active / lingering.</t>
  </si>
  <si>
    <t xml:space="preserve">Recommended POOL_MAX_SIZE</t>
  </si>
  <si>
    <t xml:space="preserve">Driver x safety buffer.</t>
  </si>
  <si>
    <t xml:space="preserve">Estimated footprint (MB)</t>
  </si>
  <si>
    <t xml:space="preserve">max_size x memory per entry.</t>
  </si>
  <si>
    <t xml:space="preserve">Estimated footprint (GB)</t>
  </si>
  <si>
    <t xml:space="preserve">Sanity-check against instance memory.</t>
  </si>
  <si>
    <t xml:space="preserve">Throughput &amp; Throttle Headroom</t>
  </si>
  <si>
    <t xml:space="preserve">Planning approximation — real throttling depends on Bedrock's adaptive limits. Check your account quotas.</t>
  </si>
  <si>
    <t xml:space="preserve">Account limit (requests/min)</t>
  </si>
  <si>
    <t xml:space="preserve">req/min</t>
  </si>
  <si>
    <t xml:space="preserve">Example — replace with your Bedrock quota.</t>
  </si>
  <si>
    <t xml:space="preserve">Target requests/min (peak)</t>
  </si>
  <si>
    <t xml:space="preserve">Your expected peak.</t>
  </si>
  <si>
    <t xml:space="preserve">Avg tokens / request</t>
  </si>
  <si>
    <t xml:space="preserve">Input + output.</t>
  </si>
  <si>
    <t xml:space="preserve">Account limit (tokens/min)</t>
  </si>
  <si>
    <t xml:space="preserve">tok/min</t>
  </si>
  <si>
    <t xml:space="preserve">Example — replace with your TPM quota.</t>
  </si>
  <si>
    <t xml:space="preserve">Retry attempts (app-level)</t>
  </si>
  <si>
    <t xml:space="preserve">tries</t>
  </si>
  <si>
    <t xml:space="preserve">Plus SDK adaptive retries.</t>
  </si>
  <si>
    <t xml:space="preserve">Headroom</t>
  </si>
  <si>
    <t xml:space="preserve">RPM headroom</t>
  </si>
  <si>
    <t xml:space="preserve">RPM utilization</t>
  </si>
  <si>
    <t xml:space="preserve">Demand (tokens/min)</t>
  </si>
  <si>
    <t xml:space="preserve">TPM headroom</t>
  </si>
  <si>
    <t xml:space="preserve">TPM utilization</t>
  </si>
  <si>
    <t xml:space="preserve">Verdict</t>
  </si>
  <si>
    <t xml:space="preserve">Reminder</t>
  </si>
  <si>
    <t xml:space="preserve">If throttled: adaptive SDK retries + app backoff with jitter, and route cheap-first to cut demand.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</si>
</sst>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00;&quot;($&quot;#,##0.0000\);\-"/>
    <numFmt numFmtId="166" formatCode="0.00\x"/>
    <numFmt numFmtId="167" formatCode="#,##0;\(#,##0\);\-"/>
    <numFmt numFmtId="168" formatCode="0%"/>
    <numFmt numFmtId="169" formatCode="0.0%"/>
    <numFmt numFmtId="170" formatCode="\$#,##0.00;&quot;($&quot;#,##0.00\);\-"/>
    <numFmt numFmtId="171" formatCode="\$#,##0;&quot;($&quot;#,##0\);\-"/>
    <numFmt numFmtId="172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6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5" t="n">
        <v>0.001</v>
      </c>
      <c r="C5" s="6" t="s">
        <v>7</v>
      </c>
      <c r="D5" s="7" t="s">
        <v>8</v>
      </c>
    </row>
    <row r="6" customFormat="false" ht="23.85" hidden="false" customHeight="false" outlineLevel="0" collapsed="false">
      <c r="A6" s="4" t="s">
        <v>9</v>
      </c>
      <c r="B6" s="5" t="n">
        <v>0.005</v>
      </c>
      <c r="C6" s="6" t="s">
        <v>7</v>
      </c>
      <c r="D6" s="7" t="s">
        <v>8</v>
      </c>
    </row>
    <row r="7" customFormat="false" ht="23.85" hidden="false" customHeight="false" outlineLevel="0" collapsed="false">
      <c r="A7" s="4" t="s">
        <v>10</v>
      </c>
      <c r="B7" s="5" t="n">
        <v>0.003</v>
      </c>
      <c r="C7" s="6" t="s">
        <v>7</v>
      </c>
      <c r="D7" s="7" t="s">
        <v>8</v>
      </c>
    </row>
    <row r="8" customFormat="false" ht="23.85" hidden="false" customHeight="false" outlineLevel="0" collapsed="false">
      <c r="A8" s="4" t="s">
        <v>11</v>
      </c>
      <c r="B8" s="5" t="n">
        <v>0.015</v>
      </c>
      <c r="C8" s="6" t="s">
        <v>7</v>
      </c>
      <c r="D8" s="7" t="s">
        <v>8</v>
      </c>
    </row>
    <row r="9" customFormat="false" ht="15" hidden="false" customHeight="false" outlineLevel="0" collapsed="false">
      <c r="A9" s="4" t="s">
        <v>12</v>
      </c>
      <c r="B9" s="8" t="n">
        <v>1.1</v>
      </c>
      <c r="C9" s="6" t="s">
        <v>13</v>
      </c>
      <c r="D9" s="7" t="s">
        <v>14</v>
      </c>
    </row>
    <row r="10" customFormat="false" ht="15" hidden="false" customHeight="false" outlineLevel="0" collapsed="false">
      <c r="A10" s="4" t="s">
        <v>15</v>
      </c>
      <c r="B10" s="5" t="n">
        <v>0.9</v>
      </c>
      <c r="C10" s="6" t="s">
        <v>16</v>
      </c>
      <c r="D10" s="7" t="s">
        <v>17</v>
      </c>
    </row>
    <row r="11" customFormat="false" ht="15" hidden="false" customHeight="false" outlineLevel="0" collapsed="false">
      <c r="A11" s="4" t="s">
        <v>18</v>
      </c>
      <c r="B11" s="9" t="n">
        <v>30</v>
      </c>
      <c r="C11" s="6" t="s">
        <v>19</v>
      </c>
      <c r="D11" s="7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2"/>
  </cols>
  <sheetData>
    <row r="1" customFormat="false" ht="18.5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3" t="s">
        <v>23</v>
      </c>
      <c r="B4" s="3" t="s">
        <v>3</v>
      </c>
      <c r="C4" s="3" t="s">
        <v>4</v>
      </c>
    </row>
    <row r="5" customFormat="false" ht="15" hidden="false" customHeight="false" outlineLevel="0" collapsed="false">
      <c r="A5" s="10" t="s">
        <v>24</v>
      </c>
      <c r="B5" s="9" t="n">
        <v>10000</v>
      </c>
      <c r="C5" s="6" t="s">
        <v>25</v>
      </c>
    </row>
    <row r="6" customFormat="false" ht="15" hidden="false" customHeight="false" outlineLevel="0" collapsed="false">
      <c r="A6" s="10" t="s">
        <v>26</v>
      </c>
      <c r="B6" s="9" t="n">
        <v>2000</v>
      </c>
      <c r="C6" s="6" t="s">
        <v>27</v>
      </c>
    </row>
    <row r="7" customFormat="false" ht="15" hidden="false" customHeight="false" outlineLevel="0" collapsed="false">
      <c r="A7" s="10" t="s">
        <v>28</v>
      </c>
      <c r="B7" s="9" t="n">
        <v>500</v>
      </c>
      <c r="C7" s="6" t="s">
        <v>27</v>
      </c>
    </row>
    <row r="8" customFormat="false" ht="15" hidden="false" customHeight="false" outlineLevel="0" collapsed="false">
      <c r="A8" s="10" t="s">
        <v>29</v>
      </c>
      <c r="B8" s="11" t="n">
        <v>0.7</v>
      </c>
      <c r="C8" s="6" t="s">
        <v>30</v>
      </c>
    </row>
    <row r="9" customFormat="false" ht="15" hidden="false" customHeight="false" outlineLevel="0" collapsed="false">
      <c r="A9" s="10" t="s">
        <v>31</v>
      </c>
      <c r="B9" s="11" t="n">
        <v>0.5</v>
      </c>
      <c r="C9" s="6" t="s">
        <v>30</v>
      </c>
    </row>
    <row r="11" customFormat="false" ht="15" hidden="false" customHeight="false" outlineLevel="0" collapsed="false">
      <c r="A11" s="12" t="s">
        <v>32</v>
      </c>
      <c r="B11" s="13"/>
      <c r="C11" s="13"/>
    </row>
    <row r="12" customFormat="false" ht="15" hidden="false" customHeight="false" outlineLevel="0" collapsed="false">
      <c r="A12" s="14" t="s">
        <v>33</v>
      </c>
      <c r="B12" s="15" t="n">
        <f aca="false">B5*B8</f>
        <v>7000</v>
      </c>
    </row>
    <row r="13" customFormat="false" ht="15" hidden="false" customHeight="false" outlineLevel="0" collapsed="false">
      <c r="A13" s="14" t="s">
        <v>34</v>
      </c>
      <c r="B13" s="15" t="n">
        <f aca="false">B5*(1-B8)</f>
        <v>3000</v>
      </c>
    </row>
    <row r="14" customFormat="false" ht="15" hidden="false" customHeight="false" outlineLevel="0" collapsed="false">
      <c r="A14" s="14" t="s">
        <v>35</v>
      </c>
      <c r="B14" s="16" t="n">
        <f aca="false">1-B9*Assumptions!B10</f>
        <v>0.55</v>
      </c>
    </row>
    <row r="16" customFormat="false" ht="15" hidden="false" customHeight="false" outlineLevel="0" collapsed="false">
      <c r="A16" s="14" t="s">
        <v>36</v>
      </c>
      <c r="B16" s="17" t="n">
        <f aca="false">B12*(B6/1000*Assumptions!B5*Assumptions!B9*B14 + B7/1000*Assumptions!B6*Assumptions!B9)</f>
        <v>27.72</v>
      </c>
    </row>
    <row r="17" customFormat="false" ht="15" hidden="false" customHeight="false" outlineLevel="0" collapsed="false">
      <c r="A17" s="14" t="s">
        <v>37</v>
      </c>
      <c r="B17" s="17" t="n">
        <f aca="false">B13*(B6/1000*Assumptions!B7*Assumptions!B9*B14 + B7/1000*Assumptions!B8*Assumptions!B9)</f>
        <v>35.64</v>
      </c>
    </row>
    <row r="18" customFormat="false" ht="15" hidden="false" customHeight="false" outlineLevel="0" collapsed="false">
      <c r="A18" s="10" t="s">
        <v>38</v>
      </c>
      <c r="B18" s="18" t="n">
        <f aca="false">B16+B17</f>
        <v>63.36</v>
      </c>
    </row>
    <row r="19" customFormat="false" ht="15" hidden="false" customHeight="false" outlineLevel="0" collapsed="false">
      <c r="A19" s="19" t="s">
        <v>39</v>
      </c>
      <c r="B19" s="20" t="n">
        <f aca="false">B18*Assumptions!B11</f>
        <v>1900.8</v>
      </c>
    </row>
    <row r="20" customFormat="false" ht="15" hidden="false" customHeight="false" outlineLevel="0" collapsed="false">
      <c r="A20" s="14" t="s">
        <v>40</v>
      </c>
      <c r="B20" s="21" t="n">
        <f aca="false">IF(B5=0,0,B18/B5)</f>
        <v>0.006336</v>
      </c>
    </row>
    <row r="21" customFormat="false" ht="15" hidden="false" customHeight="false" outlineLevel="0" collapsed="false">
      <c r="A21" s="14" t="s">
        <v>41</v>
      </c>
      <c r="B21" s="15" t="n">
        <f aca="false">B5*(B6+B7)</f>
        <v>25000000</v>
      </c>
    </row>
    <row r="22" customFormat="false" ht="15" hidden="false" customHeight="false" outlineLevel="0" collapsed="false">
      <c r="A22" s="14" t="s">
        <v>42</v>
      </c>
      <c r="B22" s="21" t="n">
        <f aca="false">IF(B21=0,0,B18/(B21/1000))</f>
        <v>0.0025344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18.5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</row>
    <row r="5" customFormat="false" ht="15" hidden="false" customHeight="false" outlineLevel="0" collapsed="false">
      <c r="A5" s="10" t="s">
        <v>49</v>
      </c>
      <c r="B5" s="11" t="n">
        <v>0</v>
      </c>
      <c r="C5" s="22" t="n">
        <f aca="false">('Token Cost'!$B$5*$B5*('Token Cost'!$B$6/1000*Assumptions!$B$5*Assumptions!$B$9*'Token Cost'!$B$14+'Token Cost'!$B$7/1000*Assumptions!$B$6*Assumptions!$B$9)+'Token Cost'!$B$5*(1-$B5)*('Token Cost'!$B$6/1000*Assumptions!$B$7*Assumptions!$B$9*'Token Cost'!$B$14+'Token Cost'!$B$7/1000*Assumptions!$B$8*Assumptions!$B$9))*Assumptions!$B$11</f>
        <v>3564</v>
      </c>
      <c r="D5" s="22" t="n">
        <f aca="false">$C$5-C5</f>
        <v>0</v>
      </c>
    </row>
    <row r="6" customFormat="false" ht="15" hidden="false" customHeight="false" outlineLevel="0" collapsed="false">
      <c r="A6" s="10" t="s">
        <v>50</v>
      </c>
      <c r="B6" s="23" t="n">
        <f aca="false">'Token Cost'!B8</f>
        <v>0.7</v>
      </c>
      <c r="C6" s="22" t="n">
        <f aca="false">('Token Cost'!$B$5*$B6*('Token Cost'!$B$6/1000*Assumptions!$B$5*Assumptions!$B$9*'Token Cost'!$B$14+'Token Cost'!$B$7/1000*Assumptions!$B$6*Assumptions!$B$9)+'Token Cost'!$B$5*(1-$B6)*('Token Cost'!$B$6/1000*Assumptions!$B$7*Assumptions!$B$9*'Token Cost'!$B$14+'Token Cost'!$B$7/1000*Assumptions!$B$8*Assumptions!$B$9))*Assumptions!$B$11</f>
        <v>1900.8</v>
      </c>
      <c r="D6" s="22" t="n">
        <f aca="false">$C$5-C6</f>
        <v>1663.2</v>
      </c>
    </row>
    <row r="7" customFormat="false" ht="15" hidden="false" customHeight="false" outlineLevel="0" collapsed="false">
      <c r="A7" s="10" t="s">
        <v>51</v>
      </c>
      <c r="B7" s="11" t="n">
        <v>1</v>
      </c>
      <c r="C7" s="22" t="n">
        <f aca="false">('Token Cost'!$B$5*$B7*('Token Cost'!$B$6/1000*Assumptions!$B$5*Assumptions!$B$9*'Token Cost'!$B$14+'Token Cost'!$B$7/1000*Assumptions!$B$6*Assumptions!$B$9)+'Token Cost'!$B$5*(1-$B7)*('Token Cost'!$B$6/1000*Assumptions!$B$7*Assumptions!$B$9*'Token Cost'!$B$14+'Token Cost'!$B$7/1000*Assumptions!$B$8*Assumptions!$B$9))*Assumptions!$B$11</f>
        <v>1188</v>
      </c>
      <c r="D7" s="22" t="n">
        <f aca="false">$C$5-C7</f>
        <v>2376</v>
      </c>
    </row>
    <row r="9" customFormat="false" ht="15" hidden="false" customHeight="false" outlineLevel="0" collapsed="false">
      <c r="A9" s="24" t="s">
        <v>52</v>
      </c>
      <c r="C9" s="25" t="str">
        <f aca="false">IF(C7&lt;C5,"Routing cheap-first can save real money — measure your misroute rate before trusting it.","Check inputs.")</f>
        <v>Routing cheap-first can save real money — measure your misroute rate before trusting it.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56"/>
  </cols>
  <sheetData>
    <row r="1" customFormat="false" ht="18.5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3" t="s">
        <v>23</v>
      </c>
      <c r="B4" s="3" t="s">
        <v>3</v>
      </c>
      <c r="C4" s="3" t="s">
        <v>4</v>
      </c>
      <c r="D4" s="3" t="s">
        <v>55</v>
      </c>
    </row>
    <row r="5" customFormat="false" ht="15" hidden="false" customHeight="false" outlineLevel="0" collapsed="false">
      <c r="A5" s="4" t="s">
        <v>56</v>
      </c>
      <c r="B5" s="9" t="n">
        <v>300</v>
      </c>
      <c r="C5" s="6" t="s">
        <v>57</v>
      </c>
      <c r="D5" s="7" t="s">
        <v>58</v>
      </c>
    </row>
    <row r="6" customFormat="false" ht="15" hidden="false" customHeight="false" outlineLevel="0" collapsed="false">
      <c r="A6" s="4" t="s">
        <v>59</v>
      </c>
      <c r="B6" s="9" t="n">
        <v>8</v>
      </c>
      <c r="C6" s="6" t="s">
        <v>60</v>
      </c>
      <c r="D6" s="7" t="s">
        <v>61</v>
      </c>
    </row>
    <row r="7" customFormat="false" ht="15" hidden="false" customHeight="false" outlineLevel="0" collapsed="false">
      <c r="A7" s="4" t="s">
        <v>62</v>
      </c>
      <c r="B7" s="9" t="n">
        <v>40</v>
      </c>
      <c r="C7" s="6" t="s">
        <v>63</v>
      </c>
      <c r="D7" s="7" t="s">
        <v>64</v>
      </c>
    </row>
    <row r="8" customFormat="false" ht="15" hidden="false" customHeight="false" outlineLevel="0" collapsed="false">
      <c r="A8" s="4" t="s">
        <v>65</v>
      </c>
      <c r="B8" s="9" t="n">
        <v>15</v>
      </c>
      <c r="C8" s="6" t="s">
        <v>60</v>
      </c>
      <c r="D8" s="7" t="s">
        <v>66</v>
      </c>
    </row>
    <row r="9" customFormat="false" ht="15" hidden="false" customHeight="false" outlineLevel="0" collapsed="false">
      <c r="A9" s="4" t="s">
        <v>67</v>
      </c>
      <c r="B9" s="9" t="n">
        <v>5</v>
      </c>
      <c r="C9" s="6" t="s">
        <v>68</v>
      </c>
      <c r="D9" s="7" t="s">
        <v>69</v>
      </c>
    </row>
    <row r="10" customFormat="false" ht="15" hidden="false" customHeight="false" outlineLevel="0" collapsed="false">
      <c r="A10" s="4" t="s">
        <v>70</v>
      </c>
      <c r="B10" s="26" t="n">
        <v>1.3</v>
      </c>
      <c r="C10" s="6" t="s">
        <v>13</v>
      </c>
      <c r="D10" s="7" t="s">
        <v>71</v>
      </c>
    </row>
    <row r="12" customFormat="false" ht="15" hidden="false" customHeight="false" outlineLevel="0" collapsed="false">
      <c r="A12" s="12" t="s">
        <v>72</v>
      </c>
      <c r="B12" s="13"/>
      <c r="C12" s="13"/>
      <c r="D12" s="13"/>
    </row>
    <row r="13" customFormat="false" ht="15" hidden="false" customHeight="false" outlineLevel="0" collapsed="false">
      <c r="A13" s="14" t="s">
        <v>73</v>
      </c>
      <c r="B13" s="15" t="n">
        <f aca="false">B7*B6</f>
        <v>320</v>
      </c>
      <c r="D13" s="7" t="s">
        <v>74</v>
      </c>
    </row>
    <row r="14" customFormat="false" ht="15" hidden="false" customHeight="false" outlineLevel="0" collapsed="false">
      <c r="A14" s="14" t="s">
        <v>75</v>
      </c>
      <c r="B14" s="15" t="n">
        <f aca="false">B7*B8</f>
        <v>600</v>
      </c>
      <c r="D14" s="7" t="s">
        <v>76</v>
      </c>
    </row>
    <row r="15" customFormat="false" ht="15" hidden="false" customHeight="false" outlineLevel="0" collapsed="false">
      <c r="A15" s="14" t="s">
        <v>77</v>
      </c>
      <c r="B15" s="15" t="n">
        <f aca="false">MAX(B5,B13,B14)</f>
        <v>600</v>
      </c>
      <c r="D15" s="7" t="s">
        <v>78</v>
      </c>
    </row>
    <row r="16" customFormat="false" ht="15" hidden="false" customHeight="false" outlineLevel="0" collapsed="false">
      <c r="A16" s="10" t="s">
        <v>79</v>
      </c>
      <c r="B16" s="27" t="n">
        <f aca="false">ROUNDUP(B15*B10,0)</f>
        <v>780</v>
      </c>
      <c r="D16" s="7" t="s">
        <v>80</v>
      </c>
    </row>
    <row r="17" customFormat="false" ht="15" hidden="false" customHeight="false" outlineLevel="0" collapsed="false">
      <c r="A17" s="14" t="s">
        <v>81</v>
      </c>
      <c r="B17" s="15" t="n">
        <f aca="false">B16*B9</f>
        <v>3900</v>
      </c>
      <c r="D17" s="7" t="s">
        <v>82</v>
      </c>
    </row>
    <row r="18" customFormat="false" ht="15" hidden="false" customHeight="false" outlineLevel="0" collapsed="false">
      <c r="A18" s="14" t="s">
        <v>83</v>
      </c>
      <c r="B18" s="28" t="n">
        <f aca="false">B17/1024</f>
        <v>3.80859375</v>
      </c>
      <c r="D18" s="7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52"/>
  </cols>
  <sheetData>
    <row r="1" customFormat="false" ht="18.5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3" t="s">
        <v>23</v>
      </c>
      <c r="B4" s="3" t="s">
        <v>3</v>
      </c>
      <c r="C4" s="3" t="s">
        <v>4</v>
      </c>
      <c r="D4" s="3" t="s">
        <v>55</v>
      </c>
    </row>
    <row r="5" customFormat="false" ht="15" hidden="false" customHeight="false" outlineLevel="0" collapsed="false">
      <c r="A5" s="4" t="s">
        <v>87</v>
      </c>
      <c r="B5" s="9" t="n">
        <v>1000</v>
      </c>
      <c r="C5" s="6" t="s">
        <v>88</v>
      </c>
      <c r="D5" s="7" t="s">
        <v>89</v>
      </c>
    </row>
    <row r="6" customFormat="false" ht="15" hidden="false" customHeight="false" outlineLevel="0" collapsed="false">
      <c r="A6" s="4" t="s">
        <v>90</v>
      </c>
      <c r="B6" s="9" t="n">
        <v>600</v>
      </c>
      <c r="C6" s="6" t="s">
        <v>88</v>
      </c>
      <c r="D6" s="7" t="s">
        <v>91</v>
      </c>
    </row>
    <row r="7" customFormat="false" ht="15" hidden="false" customHeight="false" outlineLevel="0" collapsed="false">
      <c r="A7" s="4" t="s">
        <v>92</v>
      </c>
      <c r="B7" s="9" t="n">
        <v>2500</v>
      </c>
      <c r="C7" s="6" t="s">
        <v>27</v>
      </c>
      <c r="D7" s="7" t="s">
        <v>93</v>
      </c>
    </row>
    <row r="8" customFormat="false" ht="15" hidden="false" customHeight="false" outlineLevel="0" collapsed="false">
      <c r="A8" s="4" t="s">
        <v>94</v>
      </c>
      <c r="B8" s="9" t="n">
        <v>2000000</v>
      </c>
      <c r="C8" s="6" t="s">
        <v>95</v>
      </c>
      <c r="D8" s="7" t="s">
        <v>96</v>
      </c>
    </row>
    <row r="9" customFormat="false" ht="15" hidden="false" customHeight="false" outlineLevel="0" collapsed="false">
      <c r="A9" s="4" t="s">
        <v>97</v>
      </c>
      <c r="B9" s="9" t="n">
        <v>4</v>
      </c>
      <c r="C9" s="6" t="s">
        <v>98</v>
      </c>
      <c r="D9" s="7" t="s">
        <v>99</v>
      </c>
    </row>
    <row r="11" customFormat="false" ht="15" hidden="false" customHeight="false" outlineLevel="0" collapsed="false">
      <c r="A11" s="12" t="s">
        <v>100</v>
      </c>
      <c r="B11" s="13"/>
      <c r="C11" s="13"/>
      <c r="D11" s="13"/>
    </row>
    <row r="12" customFormat="false" ht="15" hidden="false" customHeight="false" outlineLevel="0" collapsed="false">
      <c r="A12" s="10" t="s">
        <v>101</v>
      </c>
      <c r="B12" s="15" t="n">
        <f aca="false">B5-B6</f>
        <v>400</v>
      </c>
    </row>
    <row r="13" customFormat="false" ht="15" hidden="false" customHeight="false" outlineLevel="0" collapsed="false">
      <c r="A13" s="10" t="s">
        <v>102</v>
      </c>
      <c r="B13" s="29" t="n">
        <f aca="false">IF(B5=0,0,B6/B5)</f>
        <v>0.6</v>
      </c>
    </row>
    <row r="14" customFormat="false" ht="15" hidden="false" customHeight="false" outlineLevel="0" collapsed="false">
      <c r="A14" s="10" t="s">
        <v>103</v>
      </c>
      <c r="B14" s="15" t="n">
        <f aca="false">B6*B7</f>
        <v>1500000</v>
      </c>
    </row>
    <row r="15" customFormat="false" ht="15" hidden="false" customHeight="false" outlineLevel="0" collapsed="false">
      <c r="A15" s="10" t="s">
        <v>104</v>
      </c>
      <c r="B15" s="15" t="n">
        <f aca="false">B8-B14</f>
        <v>500000</v>
      </c>
    </row>
    <row r="16" customFormat="false" ht="15" hidden="false" customHeight="false" outlineLevel="0" collapsed="false">
      <c r="A16" s="10" t="s">
        <v>105</v>
      </c>
      <c r="B16" s="29" t="n">
        <f aca="false">IF(B8=0,0,B14/B8)</f>
        <v>0.75</v>
      </c>
    </row>
    <row r="18" customFormat="false" ht="15" hidden="false" customHeight="false" outlineLevel="0" collapsed="false">
      <c r="A18" s="10" t="s">
        <v>106</v>
      </c>
      <c r="B18" s="30" t="str">
        <f aca="false">IF(OR(B6&gt;B5,B14&gt;B8),"OVER LIMIT — will throttle","Within limits")</f>
        <v>Within limits</v>
      </c>
    </row>
    <row r="19" customFormat="false" ht="68.65" hidden="false" customHeight="false" outlineLevel="0" collapsed="false">
      <c r="A19" s="24" t="s">
        <v>107</v>
      </c>
      <c r="B19" s="31" t="s">
        <v>108</v>
      </c>
    </row>
  </sheetData>
  <conditionalFormatting sqref="B13">
    <cfRule type="cellIs" priority="2" operator="greaterThanOrEqual" aboveAverage="0" equalAverage="0" bottom="0" percent="0" rank="0" text="" dxfId="0">
      <formula>0.9</formula>
    </cfRule>
    <cfRule type="cellIs" priority="3" operator="between" aboveAverage="0" equalAverage="0" bottom="0" percent="0" rank="0" text="" dxfId="1">
      <formula>0.7</formula>
      <formula>0.8999</formula>
    </cfRule>
    <cfRule type="cellIs" priority="4" operator="lessThan" aboveAverage="0" equalAverage="0" bottom="0" percent="0" rank="0" text="" dxfId="2">
      <formula>0.7</formula>
    </cfRule>
  </conditionalFormatting>
  <conditionalFormatting sqref="B16">
    <cfRule type="cellIs" priority="5" operator="greaterThanOrEqual" aboveAverage="0" equalAverage="0" bottom="0" percent="0" rank="0" text="" dxfId="0">
      <formula>0.9</formula>
    </cfRule>
    <cfRule type="cellIs" priority="6" operator="between" aboveAverage="0" equalAverage="0" bottom="0" percent="0" rank="0" text="" dxfId="1">
      <formula>0.7</formula>
      <formula>0.8999</formula>
    </cfRule>
    <cfRule type="cellIs" priority="7" operator="lessThan" aboveAverage="0" equalAverage="0" bottom="0" percent="0" rank="0" text="" dxfId="2">
      <formula>0.7</formula>
    </cfRule>
  </conditionalFormatting>
  <conditionalFormatting sqref="B18">
    <cfRule type="cellIs" priority="8" operator="equal" aboveAverage="0" equalAverage="0" bottom="0" percent="0" rank="0" text="" dxfId="2">
      <formula>"Within limits"</formula>
    </cfRule>
    <cfRule type="cellIs" priority="9" operator="equal" aboveAverage="0" equalAverage="0" bottom="0" percent="0" rank="0" text="" dxfId="0">
      <formula>"OVER LIMIT — will throttle"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2026-06-07T17:48:35Z</dcterms:created>
  <dc:creator>openpyxl</dc:creator>
  <dc:description/>
  <dc:language>en-US</dc:language>
  <cp:lastModifiedBy/>
  <dcterms:modified xsi:type="dcterms:W3CDTF">2026-06-07T17:48:35Z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