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Key" sheetId="2" state="hidden" r:id="rId4"/>
    <sheet name="1 · Framework" sheetId="3" state="visible" r:id="rId5"/>
    <sheet name="2 · Loop Tracer" sheetId="4" state="visible" r:id="rId6"/>
    <sheet name="3 · Chooser" sheetId="5" state="visible" r:id="rId7"/>
    <sheet name="4 · Error Decoder" sheetId="6" state="visible" r:id="rId8"/>
    <sheet name="Co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<sst xmlns="http://schemas.openxmlformats.org/spreadsheetml/2006/main" count="352" uniqueCount="257">
  <si>
    <t xml:space="preserve">Day 6 — Activity Workbook</t>
  </si>
  <si>
    <t xml:space="preserve">Four short, self-grading activities. Pick from the dropdowns; verdict cells turn green when you are right.</t>
  </si>
  <si>
    <t xml:space="preserve">Scenario</t>
  </si>
  <si>
    <t xml:space="preserve">TravelMind UC-A1 — the booking-exception handler. Tools: lookup_booking, get_disruption_reason, get_rebooking_options.</t>
  </si>
  <si>
    <t xml:space="preserve">How it works</t>
  </si>
  <si>
    <t xml:space="preserve">•  Each activity has a "Reveal answers" toggle at the top. Leave it No while you attempt; switch to Yes to see explanations.</t>
  </si>
  <si>
    <t xml:space="preserve">•  The Verdict cell shows ✓ when right and ✗ when to review. Green = correct.</t>
  </si>
  <si>
    <t xml:space="preserve">•  The Score cell tallies your correct answers.</t>
  </si>
  <si>
    <t xml:space="preserve">The tabs</t>
  </si>
  <si>
    <t xml:space="preserve">•  1 · Framework — the 8-question decision framework, extended with four tool-use decisions.</t>
  </si>
  <si>
    <t xml:space="preserve">•  2 · Loop Tracer — debug a tool-use message trace, one turn at a time.</t>
  </si>
  <si>
    <t xml:space="preserve">•  3 · Chooser — Strands vs Bedrock Agents vs AgentCore (+ hand-rolled), green / amber / red.</t>
  </si>
  <si>
    <t xml:space="preserve">•  4 · Error Decoder — match each symptom to its cause and its fix.</t>
  </si>
  <si>
    <t xml:space="preserve">•  Costs — illustrative pricing, clearly labelled to confirm current.</t>
  </si>
  <si>
    <t xml:space="preserve">client</t>
  </si>
  <si>
    <t xml:space="preserve">door</t>
  </si>
  <si>
    <t xml:space="preserve">auth</t>
  </si>
  <si>
    <t xml:space="preserve">predict</t>
  </si>
  <si>
    <t xml:space="preserve">respmap</t>
  </si>
  <si>
    <t xml:space="preserve">temp</t>
  </si>
  <si>
    <t xml:space="preserve">throttle</t>
  </si>
  <si>
    <t xml:space="preserve">api</t>
  </si>
  <si>
    <t xml:space="preserve">tool</t>
  </si>
  <si>
    <t xml:space="preserve">schema</t>
  </si>
  <si>
    <t xml:space="preserve">append</t>
  </si>
  <si>
    <t xml:space="preserve">guard</t>
  </si>
  <si>
    <t xml:space="preserve">trace</t>
  </si>
  <si>
    <t xml:space="preserve">cause</t>
  </si>
  <si>
    <t xml:space="preserve">fix</t>
  </si>
  <si>
    <t xml:space="preserve">priority</t>
  </si>
  <si>
    <t xml:space="preserve">bedrock</t>
  </si>
  <si>
    <t xml:space="preserve">Console playground</t>
  </si>
  <si>
    <t xml:space="preserve">Short-term API key</t>
  </si>
  <si>
    <t xml:space="preserve">Works</t>
  </si>
  <si>
    <t xml:space="preserve">output.message.content[0].text</t>
  </si>
  <si>
    <t xml:space="preserve">0.0 (deterministic)</t>
  </si>
  <si>
    <t xml:space="preserve">Request a quota increase or open a support case</t>
  </si>
  <si>
    <t xml:space="preserve">converse</t>
  </si>
  <si>
    <t xml:space="preserve">lookup_booking</t>
  </si>
  <si>
    <t xml:space="preserve">json-wrapped, with properties and required</t>
  </si>
  <si>
    <t xml:space="preserve">Append the assistant's tool_use message to messages</t>
  </si>
  <si>
    <t xml:space="preserve">A max-steps counter that breaks the loop</t>
  </si>
  <si>
    <t xml:space="preserve">Valid</t>
  </si>
  <si>
    <t xml:space="preserve">Bare model id — needs an inference profile</t>
  </si>
  <si>
    <t xml:space="preserve">Use the us./global. inference profile prefix</t>
  </si>
  <si>
    <t xml:space="preserve">Full control of the loop</t>
  </si>
  <si>
    <t xml:space="preserve">Hand-rolled to learn, then ship in Strands</t>
  </si>
  <si>
    <t xml:space="preserve">bedrock-runtime</t>
  </si>
  <si>
    <t xml:space="preserve">AWS CLI</t>
  </si>
  <si>
    <t xml:space="preserve">AWS bearer token</t>
  </si>
  <si>
    <t xml:space="preserve">Fails — needs an inference profile</t>
  </si>
  <si>
    <t xml:space="preserve">output.text</t>
  </si>
  <si>
    <t xml:space="preserve">0.3</t>
  </si>
  <si>
    <t xml:space="preserve">Switch to a bigger model</t>
  </si>
  <si>
    <t xml:space="preserve">invoke model</t>
  </si>
  <si>
    <t xml:space="preserve">get_disruption_reason</t>
  </si>
  <si>
    <t xml:space="preserve">no json wrapper</t>
  </si>
  <si>
    <t xml:space="preserve">Send the toolResult immediately</t>
  </si>
  <si>
    <t xml:space="preserve">A try/except around the tool</t>
  </si>
  <si>
    <t xml:space="preserve">Invalid — toolUseId mismatch</t>
  </si>
  <si>
    <t xml:space="preserve">Account token quota is 0 / exhausted</t>
  </si>
  <si>
    <t xml:space="preserve">Least code to a working agent</t>
  </si>
  <si>
    <t xml:space="preserve">Strands</t>
  </si>
  <si>
    <t xml:space="preserve">SDK (boto3)</t>
  </si>
  <si>
    <t xml:space="preserve">IAM role</t>
  </si>
  <si>
    <t xml:space="preserve">choices[0].message.content</t>
  </si>
  <si>
    <t xml:space="preserve">0.7</t>
  </si>
  <si>
    <t xml:space="preserve">Increase max_tokens</t>
  </si>
  <si>
    <t xml:space="preserve">messages</t>
  </si>
  <si>
    <t xml:space="preserve">get_rebooking_options</t>
  </si>
  <si>
    <t xml:space="preserve">json wrapper but no properties or required</t>
  </si>
  <si>
    <t xml:space="preserve">Call converse again with the same messages</t>
  </si>
  <si>
    <t xml:space="preserve">Setting temperature to 0</t>
  </si>
  <si>
    <t xml:space="preserve">Invalid — assistant tool_use turn missing first</t>
  </si>
  <si>
    <t xml:space="preserve">Did not append the assistant tool_use message</t>
  </si>
  <si>
    <t xml:space="preserve">Append the assistant message before the toolResult</t>
  </si>
  <si>
    <t xml:space="preserve">No-code, from configuration</t>
  </si>
  <si>
    <t xml:space="preserve">Bedrock Agents</t>
  </si>
  <si>
    <t xml:space="preserve">SSO</t>
  </si>
  <si>
    <t xml:space="preserve">body.completion</t>
  </si>
  <si>
    <t xml:space="preserve">1.0</t>
  </si>
  <si>
    <t xml:space="preserve">Add more tools</t>
  </si>
  <si>
    <t xml:space="preserve">chat completions</t>
  </si>
  <si>
    <t xml:space="preserve">none</t>
  </si>
  <si>
    <t xml:space="preserve">wrong types, no wrapper</t>
  </si>
  <si>
    <t xml:space="preserve">Lower the temperature</t>
  </si>
  <si>
    <t xml:space="preserve">A larger max_tokens</t>
  </si>
  <si>
    <t xml:space="preserve">Invalid — toolResult must be in a user turn</t>
  </si>
  <si>
    <t xml:space="preserve">toolUseId mismatch</t>
  </si>
  <si>
    <t xml:space="preserve">Echo the exact toolUseId back</t>
  </si>
  <si>
    <t xml:space="preserve">Production hosting</t>
  </si>
  <si>
    <t xml:space="preserve">AgentCore (host your Strands agent)</t>
  </si>
  <si>
    <t xml:space="preserve">Invalid — wrong role for text</t>
  </si>
  <si>
    <t xml:space="preserve">No loop-termination guard</t>
  </si>
  <si>
    <t xml:space="preserve">Add a max-steps counter</t>
  </si>
  <si>
    <t xml:space="preserve">Isolation + governance</t>
  </si>
  <si>
    <t xml:space="preserve">AgentCore</t>
  </si>
  <si>
    <t xml:space="preserve">Used bedrock-runtime instead of bedrock-agent-runtime</t>
  </si>
  <si>
    <t xml:space="preserve">Call retrieve on the bedrock-agent-runtime client</t>
  </si>
  <si>
    <t xml:space="preserve">Reuse tools across agents</t>
  </si>
  <si>
    <t xml:space="preserve">AgentCore (Gateway)</t>
  </si>
  <si>
    <t xml:space="preserve">Mixed the two agentcore CLIs</t>
  </si>
  <si>
    <t xml:space="preserve">Use the Python toolkit verbs (configure / launch / invoke)</t>
  </si>
  <si>
    <t xml:space="preserve">Memory across sessions</t>
  </si>
  <si>
    <t xml:space="preserve">AgentCore (Memory)</t>
  </si>
  <si>
    <t xml:space="preserve">Entrypoint returns a non-JSON value</t>
  </si>
  <si>
    <t xml:space="preserve">Return a dict from the @app.entrypoint</t>
  </si>
  <si>
    <t xml:space="preserve">Best for learning</t>
  </si>
  <si>
    <t xml:space="preserve">Hand-rolled loop</t>
  </si>
  <si>
    <t xml:space="preserve">No streaming configured</t>
  </si>
  <si>
    <t xml:space="preserve">Stream the response</t>
  </si>
  <si>
    <t xml:space="preserve">Untested guardrail false positive</t>
  </si>
  <si>
    <t xml:space="preserve">Test against real domain terms and adjust the filter</t>
  </si>
  <si>
    <t xml:space="preserve">Activity 1 — The decision framework, extended for tool use</t>
  </si>
  <si>
    <t xml:space="preserve">Scenario: TravelMind UC-A1 booking-exception handler. Tools: lookup_booking, get_disruption_reason, get_rebooking_options. Pick each answer from the dropdown.</t>
  </si>
  <si>
    <t xml:space="preserve">Reveal answers:</t>
  </si>
  <si>
    <t xml:space="preserve">No</t>
  </si>
  <si>
    <t xml:space="preserve">Score:</t>
  </si>
  <si>
    <t xml:space="preserve">#</t>
  </si>
  <si>
    <t xml:space="preserve">Decision</t>
  </si>
  <si>
    <t xml:space="preserve">Your answer</t>
  </si>
  <si>
    <t xml:space="preserve">Verdict</t>
  </si>
  <si>
    <t xml:space="preserve">Answer &amp; why</t>
  </si>
  <si>
    <t xml:space="preserve">Which client RUNS the agent?</t>
  </si>
  <si>
    <t xml:space="preserve">Running models = bedrock-runtime. bedrock is the control plane (list / manage).</t>
  </si>
  <si>
    <t xml:space="preserve">Which door for repeatable agent code?</t>
  </si>
  <si>
    <t xml:space="preserve">Repeatable in code = SDK. CLI for quick checks, console for exploring.</t>
  </si>
  <si>
    <t xml:space="preserve">Auth for an agent you will deploy?</t>
  </si>
  <si>
    <t xml:space="preserve">Deployed / production = IAM role. No keys in code.</t>
  </si>
  <si>
    <t xml:space="preserve">Bare id anthropic.claude-sonnet-4-5... — will the call work?</t>
  </si>
  <si>
    <t xml:space="preserve">Newer Claude needs the us./global. inference profile, or ValidationException.</t>
  </si>
  <si>
    <t xml:space="preserve">Where is the final text in a converse reply?</t>
  </si>
  <si>
    <t xml:space="preserve">resp['output']['message']['content'][0]['text'].</t>
  </si>
  <si>
    <t xml:space="preserve">Temperature for a deterministic booking lookup?</t>
  </si>
  <si>
    <t xml:space="preserve">Lookups / extraction = low temperature for consistency.</t>
  </si>
  <si>
    <t xml:space="preserve">throttlingException 'too many tokens' — the fix?</t>
  </si>
  <si>
    <t xml:space="preserve">Account token quota is 0 or exhausted; raise it, or wait.</t>
  </si>
  <si>
    <t xml:space="preserve">Tool use, Strands and AgentCore all build on which API?</t>
  </si>
  <si>
    <t xml:space="preserve">converse is the foundation. invoke is legacy / file-based.</t>
  </si>
  <si>
    <t xml:space="preserve">Tool-use additions (today)</t>
  </si>
  <si>
    <t xml:space="preserve">stopReason=tool_use asks for the booking status. Which tool runs?</t>
  </si>
  <si>
    <t xml:space="preserve">Status of a booking = lookup_booking(pnr).</t>
  </si>
  <si>
    <t xml:space="preserve">Which inputSchema correctly declares a required PNR string?</t>
  </si>
  <si>
    <t xml:space="preserve">inputSchema wraps the JSON schema in {"json": {...}} with properties + required.</t>
  </si>
  <si>
    <t xml:space="preserve">After a tool_use response, the NEXT step before the toolResult?</t>
  </si>
  <si>
    <t xml:space="preserve">Order must be user → assistant(tool_use) → user(toolResult).</t>
  </si>
  <si>
    <t xml:space="preserve">What prevents an infinite tool-use loop?</t>
  </si>
  <si>
    <t xml:space="preserve">The model can keep requesting tools; cap the iterations.</t>
  </si>
  <si>
    <t xml:space="preserve">Activity 2 — Loop tracer: debug the message trace</t>
  </si>
  <si>
    <t xml:space="preserve">This is the messages list a learner built for UC-A1. Some turns are wrong. Judge each turn in the context of the ones above it.</t>
  </si>
  <si>
    <t xml:space="preserve">Step</t>
  </si>
  <si>
    <t xml:space="preserve">Role</t>
  </si>
  <si>
    <t xml:space="preserve">Content (what the turn carries)</t>
  </si>
  <si>
    <t xml:space="preserve">Your verdict</t>
  </si>
  <si>
    <t xml:space="preserve">Fix</t>
  </si>
  <si>
    <t xml:space="preserve">user</t>
  </si>
  <si>
    <t xml:space="preserve">text: "Status of PNR JX48Q2?"</t>
  </si>
  <si>
    <t xml:space="preserve">A plain user question is a valid opening turn.</t>
  </si>
  <si>
    <t xml:space="preserve">assistant</t>
  </si>
  <si>
    <t xml:space="preserve">toolUse  lookup_booking  id=tu_1</t>
  </si>
  <si>
    <t xml:space="preserve">The model requesting a tool is the expected assistant turn.</t>
  </si>
  <si>
    <t xml:space="preserve">toolResult  id=tu_9  {status: CANCELLED}</t>
  </si>
  <si>
    <t xml:space="preserve">The id must echo the toolUse it answers: tu_1, not tu_9.</t>
  </si>
  <si>
    <t xml:space="preserve">toolResult  id=tu_2  {reason: weather}</t>
  </si>
  <si>
    <t xml:space="preserve">No assistant turn requested tu_2 — you skipped appending it.</t>
  </si>
  <si>
    <t xml:space="preserve">toolResult  id=tu_3  {options: [...]}</t>
  </si>
  <si>
    <t xml:space="preserve">toolResult always goes in a user turn, never an assistant turn.</t>
  </si>
  <si>
    <t xml:space="preserve">toolUse  get_rebooking_options  id=tu_4</t>
  </si>
  <si>
    <t xml:space="preserve">A fresh assistant tool request — correctly placed.</t>
  </si>
  <si>
    <t xml:space="preserve">toolResult  id=tu_4  [opt A, opt B]</t>
  </si>
  <si>
    <t xml:space="preserve">Matches tu_4 and sits in a user turn — correct.</t>
  </si>
  <si>
    <t xml:space="preserve">text: "Cancelled (weather). Two options: ..."</t>
  </si>
  <si>
    <t xml:space="preserve">The final answer at end_turn — a valid assistant text turn.</t>
  </si>
  <si>
    <t xml:space="preserve">Activity 3 — Choose your approach</t>
  </si>
  <si>
    <t xml:space="preserve">Strands and Bedrock Agents BUILD an agent; AgentCore HOSTS one. Hand-rolled is the learning baseline.</t>
  </si>
  <si>
    <t xml:space="preserve">What matters most right now?</t>
  </si>
  <si>
    <t xml:space="preserve">Criterion</t>
  </si>
  <si>
    <t xml:space="preserve">Hand-rolled (learn)</t>
  </si>
  <si>
    <t xml:space="preserve">AgentCore (host)</t>
  </si>
  <si>
    <t xml:space="preserve">Yes</t>
  </si>
  <si>
    <t xml:space="preserve">Partial</t>
  </si>
  <si>
    <t xml:space="preserve">Production hosting (serverless, scale)</t>
  </si>
  <si>
    <t xml:space="preserve">Session isolation + governance</t>
  </si>
  <si>
    <t xml:space="preserve">Reuse tools across agents (MCP)</t>
  </si>
  <si>
    <t xml:space="preserve">Best for learning the mechanics</t>
  </si>
  <si>
    <t xml:space="preserve">These stack: build in Strands, host on AgentCore. Bedrock Agents is the no-code alternative. Hand-rolled is for understanding the loop, not production.</t>
  </si>
  <si>
    <t xml:space="preserve">Activity 4 — Error decoder drill</t>
  </si>
  <si>
    <t xml:space="preserve">Match each symptom to BOTH its cause and its fix. The verdict turns green only when both are right.</t>
  </si>
  <si>
    <t xml:space="preserve">Symptom (what you see)</t>
  </si>
  <si>
    <t xml:space="preserve">Your cause</t>
  </si>
  <si>
    <t xml:space="preserve">Your fix</t>
  </si>
  <si>
    <t xml:space="preserve">Explanation</t>
  </si>
  <si>
    <t xml:space="preserve">ValidationException: model isn't supported for on-demand throughput</t>
  </si>
  <si>
    <t xml:space="preserve">Newer Claude is on-demand only via an inference profile.</t>
  </si>
  <si>
    <t xml:space="preserve">throttlingException: too many tokens, please wait</t>
  </si>
  <si>
    <t xml:space="preserve">New accounts often have a 0 applied quota; raise it.</t>
  </si>
  <si>
    <t xml:space="preserve">Error: toolResult sent without a preceding toolUse</t>
  </si>
  <si>
    <t xml:space="preserve">Turn order: user → assistant(tool_use) → user(toolResult).</t>
  </si>
  <si>
    <t xml:space="preserve">Error: tool result id does not match a tool use</t>
  </si>
  <si>
    <t xml:space="preserve">The toolResult id must equal the toolUse id.</t>
  </si>
  <si>
    <t xml:space="preserve">The agent keeps calling tools and never answers</t>
  </si>
  <si>
    <t xml:space="preserve">Cap the loop; the model can request tools forever.</t>
  </si>
  <si>
    <t xml:space="preserve">AccessDenied when the agent queries the Knowledge Base</t>
  </si>
  <si>
    <t xml:space="preserve">KB retrieve lives on the bedrock-agent-runtime client.</t>
  </si>
  <si>
    <t xml:space="preserve">agentcore: command / verb not found</t>
  </si>
  <si>
    <t xml:space="preserve">Two CLIs share the name; the Python toolkit uses configure/launch.</t>
  </si>
  <si>
    <t xml:space="preserve">AgentCore deploy is Ready but returns nothing</t>
  </si>
  <si>
    <t xml:space="preserve">The entrypoint must return JSON (a dict).</t>
  </si>
  <si>
    <t xml:space="preserve">AgentCore request times out on long runs</t>
  </si>
  <si>
    <t xml:space="preserve">Long runs need streaming or the request times out.</t>
  </si>
  <si>
    <t xml:space="preserve">A guardrail blocks a valid query containing 'token'</t>
  </si>
  <si>
    <t xml:space="preserve">Test guardrails on your real vocabulary before shipping.</t>
  </si>
  <si>
    <t xml:space="preserve">Illustrative costs — confirm current</t>
  </si>
  <si>
    <t xml:space="preserve">Illustrative only (US East, early 2026). Confirm at aws.amazon.com/bedrock/pricing and aws.amazon.com/bedrock/agentcore/pricing before quoting a client.</t>
  </si>
  <si>
    <t xml:space="preserve">Model token pricing (per 1M tokens)</t>
  </si>
  <si>
    <t xml:space="preserve">Model</t>
  </si>
  <si>
    <t xml:space="preserve">Input $/1M</t>
  </si>
  <si>
    <t xml:space="preserve">Output $/1M</t>
  </si>
  <si>
    <t xml:space="preserve">Note</t>
  </si>
  <si>
    <t xml:space="preserve">Claude Sonnet 4.6</t>
  </si>
  <si>
    <t xml:space="preserve">tool use / agents</t>
  </si>
  <si>
    <t xml:space="preserve">Claude Haiku 4.5</t>
  </si>
  <si>
    <t xml:space="preserve">cheaper, still capable</t>
  </si>
  <si>
    <t xml:space="preserve">Claude Opus 4.6</t>
  </si>
  <si>
    <t xml:space="preserve">heavy reasoning</t>
  </si>
  <si>
    <t xml:space="preserve">Nova Lite</t>
  </si>
  <si>
    <t xml:space="preserve">cheap routing, weaker tools</t>
  </si>
  <si>
    <t xml:space="preserve">Nova Micro</t>
  </si>
  <si>
    <t xml:space="preserve">classify / extract</t>
  </si>
  <si>
    <t xml:space="preserve">Cross-region inference +~10%.  Batch −50%.  Prompt caching up to −90% on cached input.</t>
  </si>
  <si>
    <t xml:space="preserve">Platform / infrastructure</t>
  </si>
  <si>
    <t xml:space="preserve">Item</t>
  </si>
  <si>
    <t xml:space="preserve">Rate</t>
  </si>
  <si>
    <t xml:space="preserve">AgentCore Runtime</t>
  </si>
  <si>
    <t xml:space="preserve">$0.0895 / vCPU-hr + $0.00945 / GB-hr</t>
  </si>
  <si>
    <t xml:space="preserve">active use only — no charge during I/O wait</t>
  </si>
  <si>
    <t xml:space="preserve">AgentCore Gateway</t>
  </si>
  <si>
    <t xml:space="preserve">per tool invocation</t>
  </si>
  <si>
    <t xml:space="preserve">confirm current rate</t>
  </si>
  <si>
    <t xml:space="preserve">AgentCore Memory</t>
  </si>
  <si>
    <t xml:space="preserve">per record stored</t>
  </si>
  <si>
    <t xml:space="preserve">AgentCore Observability</t>
  </si>
  <si>
    <t xml:space="preserve">via CloudWatch (~15% of AgentCore)</t>
  </si>
  <si>
    <t xml:space="preserve">traces + metrics</t>
  </si>
  <si>
    <t xml:space="preserve">OpenSearch Serverless (KB)</t>
  </si>
  <si>
    <t xml:space="preserve">~$350 / mo floor (4 half-OCUs)</t>
  </si>
  <si>
    <t xml:space="preserve">bills hourly even when idle — the $11 lesson</t>
  </si>
  <si>
    <t xml:space="preserve">S3 Vectors (KB)</t>
  </si>
  <si>
    <t xml:space="preserve">per GB stored + per query</t>
  </si>
  <si>
    <t xml:space="preserve">lower floor than OpenSearch; confirm current</t>
  </si>
  <si>
    <t xml:space="preserve">Free tier</t>
  </si>
  <si>
    <t xml:space="preserve">up to $200 credits (new accounts)</t>
  </si>
  <si>
    <t xml:space="preserve">for getting started</t>
  </si>
  <si>
    <t xml:space="preserve">Watch-outs</t>
  </si>
  <si>
    <t xml:space="preserve">•  An agent loop calls the model 5–10× per request — multiply token cost by your average step count.</t>
  </si>
  <si>
    <t xml:space="preserve">•  RAG doubles the path: embeddings → store → search → model call.</t>
  </si>
  <si>
    <t xml:space="preserve">•  Tear down KBs and OpenSearch when idle; they bill regardless of use.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</si>
</sst>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Calibri"/>
      <family val="0"/>
      <charset val="1"/>
    </font>
    <font>
      <i val="true"/>
      <sz val="10.5"/>
      <color rgb="FF64748B"/>
      <name val="Calibri"/>
      <family val="0"/>
      <charset val="1"/>
    </font>
    <font>
      <b val="true"/>
      <sz val="13"/>
      <color rgb="FFB45309"/>
      <name val="Calibri"/>
      <family val="0"/>
      <charset val="1"/>
    </font>
    <font>
      <sz val="11"/>
      <color rgb="FF334155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1"/>
      <color rgb="FF3341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B45309"/>
      <name val="Calibri"/>
      <family val="0"/>
      <charset val="1"/>
    </font>
    <font>
      <sz val="11"/>
      <color rgb="FF0F172A"/>
      <name val="Calibri"/>
      <family val="0"/>
      <charset val="1"/>
    </font>
    <font>
      <sz val="10.5"/>
      <color rgb="FF334155"/>
      <name val="Calibri"/>
      <family val="0"/>
      <charset val="1"/>
    </font>
    <font>
      <b val="true"/>
      <sz val="10.5"/>
      <color rgb="FF0F172A"/>
      <name val="Calibri"/>
      <family val="0"/>
      <charset val="1"/>
    </font>
    <font>
      <sz val="10"/>
      <color rgb="FF0F172A"/>
      <name val="Consolas"/>
      <family val="0"/>
      <charset val="1"/>
    </font>
    <font>
      <sz val="10.5"/>
      <color rgb="FF0F172A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2"/>
      <color rgb="FFB45309"/>
      <name val="Calibri"/>
      <family val="0"/>
      <charset val="1"/>
    </font>
    <font>
      <b val="true"/>
      <sz val="11"/>
      <color rgb="FF166534"/>
      <name val="Calibri"/>
      <family val="0"/>
      <charset val="1"/>
    </font>
    <font>
      <b val="true"/>
      <sz val="11"/>
      <color rgb="FF92400E"/>
      <name val="Calibri"/>
      <family val="0"/>
      <charset val="1"/>
    </font>
    <font>
      <b val="true"/>
      <sz val="11"/>
      <color rgb="FF991B1B"/>
      <name val="Calibri"/>
      <family val="0"/>
      <charset val="1"/>
    </font>
    <font>
      <b val="true"/>
      <sz val="12"/>
      <color rgb="FF0F172A"/>
      <name val="Calibri"/>
      <family val="0"/>
      <charset val="1"/>
    </font>
    <font>
      <sz val="10.5"/>
      <color rgb="FF0F172A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B45309"/>
        <bgColor rgb="FF92400E"/>
      </patternFill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BBF7D0"/>
        <bgColor rgb="FFDCFCE7"/>
      </patternFill>
    </fill>
    <fill>
      <patternFill patternType="solid">
        <fgColor rgb="FFFDE68A"/>
        <bgColor rgb="FFFEF3C7"/>
      </patternFill>
    </fill>
    <fill>
      <patternFill patternType="solid">
        <fgColor rgb="FFFECACA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F8FAFC"/>
      <rgbColor rgb="FF808080"/>
      <rgbColor rgb="FF9999FF"/>
      <rgbColor rgb="FFB45309"/>
      <rgbColor rgb="FFFEF3C7"/>
      <rgbColor rgb="FFDCFCE7"/>
      <rgbColor rgb="FF660066"/>
      <rgbColor rgb="FFFF8080"/>
      <rgbColor rgb="FF0066CC"/>
      <rgbColor rgb="FFFE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BBF7D0"/>
      <rgbColor rgb="FFFDE68A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2400E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5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21.75" hidden="false" customHeight="tru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</row>
    <row r="6" customFormat="false" ht="7.5" hidden="false" customHeight="true" outlineLevel="0" collapsed="false"/>
    <row r="7" customFormat="false" ht="21.75" hidden="false" customHeight="true" outlineLevel="0" collapsed="false">
      <c r="B7" s="3" t="s">
        <v>4</v>
      </c>
    </row>
    <row r="8" customFormat="false" ht="25.5" hidden="false" customHeight="true" outlineLevel="0" collapsed="false">
      <c r="B8" s="4" t="s">
        <v>5</v>
      </c>
    </row>
    <row r="9" customFormat="false" ht="25.5" hidden="false" customHeight="true" outlineLevel="0" collapsed="false">
      <c r="B9" s="4" t="s">
        <v>6</v>
      </c>
    </row>
    <row r="10" customFormat="false" ht="25.5" hidden="false" customHeight="true" outlineLevel="0" collapsed="false">
      <c r="B10" s="4" t="s">
        <v>7</v>
      </c>
    </row>
    <row r="11" customFormat="false" ht="7.5" hidden="false" customHeight="true" outlineLevel="0" collapsed="false"/>
    <row r="12" customFormat="false" ht="21.75" hidden="false" customHeight="true" outlineLevel="0" collapsed="false">
      <c r="B12" s="3" t="s">
        <v>8</v>
      </c>
    </row>
    <row r="13" customFormat="false" ht="25.5" hidden="false" customHeight="true" outlineLevel="0" collapsed="false">
      <c r="B13" s="4" t="s">
        <v>9</v>
      </c>
    </row>
    <row r="14" customFormat="false" ht="25.5" hidden="false" customHeight="true" outlineLevel="0" collapsed="false">
      <c r="B14" s="4" t="s">
        <v>10</v>
      </c>
    </row>
    <row r="15" customFormat="false" ht="25.5" hidden="false" customHeight="true" outlineLevel="0" collapsed="false">
      <c r="B15" s="4" t="s">
        <v>11</v>
      </c>
    </row>
    <row r="16" customFormat="false" ht="25.5" hidden="false" customHeight="true" outlineLevel="0" collapsed="false">
      <c r="B16" s="4" t="s">
        <v>12</v>
      </c>
    </row>
    <row r="17" customFormat="false" ht="25.5" hidden="false" customHeight="true" outlineLevel="0" collapsed="false">
      <c r="B17" s="4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</row>
    <row r="3" customFormat="false" ht="15" hidden="false" customHeight="false" outlineLevel="0" collapsed="false">
      <c r="A3" s="0" t="s">
        <v>47</v>
      </c>
      <c r="B3" s="0" t="s">
        <v>48</v>
      </c>
      <c r="C3" s="0" t="s">
        <v>49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 t="s">
        <v>36</v>
      </c>
      <c r="P3" s="0" t="s">
        <v>61</v>
      </c>
      <c r="Q3" s="0" t="s">
        <v>62</v>
      </c>
    </row>
    <row r="4" customFormat="false" ht="15" hidden="false" customHeight="false" outlineLevel="0" collapsed="false">
      <c r="B4" s="0" t="s">
        <v>63</v>
      </c>
      <c r="C4" s="0" t="s">
        <v>64</v>
      </c>
      <c r="E4" s="0" t="s">
        <v>65</v>
      </c>
      <c r="F4" s="0" t="s">
        <v>66</v>
      </c>
      <c r="G4" s="0" t="s">
        <v>67</v>
      </c>
      <c r="H4" s="0" t="s">
        <v>68</v>
      </c>
      <c r="I4" s="0" t="s">
        <v>69</v>
      </c>
      <c r="J4" s="0" t="s">
        <v>70</v>
      </c>
      <c r="K4" s="0" t="s">
        <v>71</v>
      </c>
      <c r="L4" s="0" t="s">
        <v>72</v>
      </c>
      <c r="M4" s="0" t="s">
        <v>73</v>
      </c>
      <c r="N4" s="0" t="s">
        <v>74</v>
      </c>
      <c r="O4" s="0" t="s">
        <v>75</v>
      </c>
      <c r="P4" s="0" t="s">
        <v>76</v>
      </c>
      <c r="Q4" s="0" t="s">
        <v>77</v>
      </c>
    </row>
    <row r="5" customFormat="false" ht="15" hidden="false" customHeight="false" outlineLevel="0" collapsed="false">
      <c r="C5" s="0" t="s">
        <v>78</v>
      </c>
      <c r="E5" s="0" t="s">
        <v>79</v>
      </c>
      <c r="F5" s="0" t="s">
        <v>80</v>
      </c>
      <c r="G5" s="0" t="s">
        <v>81</v>
      </c>
      <c r="H5" s="0" t="s">
        <v>82</v>
      </c>
      <c r="I5" s="0" t="s">
        <v>83</v>
      </c>
      <c r="J5" s="0" t="s">
        <v>84</v>
      </c>
      <c r="K5" s="0" t="s">
        <v>85</v>
      </c>
      <c r="L5" s="0" t="s">
        <v>86</v>
      </c>
      <c r="M5" s="0" t="s">
        <v>87</v>
      </c>
      <c r="N5" s="0" t="s">
        <v>88</v>
      </c>
      <c r="O5" s="0" t="s">
        <v>89</v>
      </c>
      <c r="P5" s="0" t="s">
        <v>90</v>
      </c>
      <c r="Q5" s="0" t="s">
        <v>91</v>
      </c>
    </row>
    <row r="6" customFormat="false" ht="15" hidden="false" customHeight="false" outlineLevel="0" collapsed="false">
      <c r="M6" s="0" t="s">
        <v>92</v>
      </c>
      <c r="N6" s="0" t="s">
        <v>93</v>
      </c>
      <c r="O6" s="0" t="s">
        <v>94</v>
      </c>
      <c r="P6" s="0" t="s">
        <v>95</v>
      </c>
      <c r="Q6" s="0" t="s">
        <v>96</v>
      </c>
    </row>
    <row r="7" customFormat="false" ht="15" hidden="false" customHeight="false" outlineLevel="0" collapsed="false">
      <c r="N7" s="0" t="s">
        <v>97</v>
      </c>
      <c r="O7" s="0" t="s">
        <v>98</v>
      </c>
      <c r="P7" s="0" t="s">
        <v>99</v>
      </c>
      <c r="Q7" s="0" t="s">
        <v>100</v>
      </c>
    </row>
    <row r="8" customFormat="false" ht="15" hidden="false" customHeight="false" outlineLevel="0" collapsed="false">
      <c r="N8" s="0" t="s">
        <v>101</v>
      </c>
      <c r="O8" s="0" t="s">
        <v>102</v>
      </c>
      <c r="P8" s="0" t="s">
        <v>103</v>
      </c>
      <c r="Q8" s="0" t="s">
        <v>104</v>
      </c>
    </row>
    <row r="9" customFormat="false" ht="15" hidden="false" customHeight="false" outlineLevel="0" collapsed="false">
      <c r="N9" s="0" t="s">
        <v>105</v>
      </c>
      <c r="O9" s="0" t="s">
        <v>106</v>
      </c>
      <c r="P9" s="0" t="s">
        <v>107</v>
      </c>
      <c r="Q9" s="0" t="s">
        <v>108</v>
      </c>
    </row>
    <row r="10" customFormat="false" ht="15" hidden="false" customHeight="false" outlineLevel="0" collapsed="false">
      <c r="N10" s="0" t="s">
        <v>109</v>
      </c>
      <c r="O10" s="0" t="s">
        <v>110</v>
      </c>
    </row>
    <row r="11" customFormat="false" ht="15" hidden="false" customHeight="false" outlineLevel="0" collapsed="false">
      <c r="N11" s="0" t="s">
        <v>111</v>
      </c>
      <c r="O11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true" outlineLevel="0" max="9" min="8" style="0" width="13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</row>
    <row r="2" customFormat="false" ht="18" hidden="false" customHeight="true" outlineLevel="0" collapsed="false">
      <c r="A2" s="2" t="s">
        <v>114</v>
      </c>
      <c r="B2" s="2"/>
      <c r="C2" s="2"/>
      <c r="D2" s="2"/>
      <c r="E2" s="2"/>
    </row>
    <row r="4" customFormat="false" ht="16.15" hidden="false" customHeight="false" outlineLevel="0" collapsed="false">
      <c r="A4" s="6" t="s">
        <v>115</v>
      </c>
      <c r="B4" s="6"/>
      <c r="C4" s="7" t="s">
        <v>116</v>
      </c>
      <c r="D4" s="8" t="s">
        <v>117</v>
      </c>
      <c r="E4" s="9" t="str">
        <f aca="false">(COUNTIF(D6:D13,"*Correct*")+COUNTIF(D15:D18,"*Correct*"))&amp;" / 12"</f>
        <v>0 / 12</v>
      </c>
    </row>
    <row r="5" customFormat="false" ht="21.75" hidden="false" customHeight="true" outlineLevel="0" collapsed="false">
      <c r="A5" s="10" t="s">
        <v>118</v>
      </c>
      <c r="B5" s="10" t="s">
        <v>119</v>
      </c>
      <c r="C5" s="10" t="s">
        <v>120</v>
      </c>
      <c r="D5" s="10" t="s">
        <v>121</v>
      </c>
      <c r="E5" s="10" t="s">
        <v>122</v>
      </c>
    </row>
    <row r="6" customFormat="false" ht="36" hidden="false" customHeight="true" outlineLevel="0" collapsed="false">
      <c r="A6" s="11" t="n">
        <v>1</v>
      </c>
      <c r="B6" s="12" t="s">
        <v>123</v>
      </c>
      <c r="C6" s="13"/>
      <c r="D6" s="14" t="str">
        <f aca="false">IF($C6="","",IF($C6=$H6,"✓ Correct","✗ Review"))</f>
        <v/>
      </c>
      <c r="E6" s="15" t="str">
        <f aca="false">IF($C6="","",IF(OR($C$4="Yes",$C6=$H6),$I6,"Try again — or set Reveal = Yes"))</f>
        <v/>
      </c>
      <c r="H6" s="16" t="s">
        <v>47</v>
      </c>
      <c r="I6" s="16" t="s">
        <v>124</v>
      </c>
    </row>
    <row r="7" customFormat="false" ht="36" hidden="false" customHeight="true" outlineLevel="0" collapsed="false">
      <c r="A7" s="11" t="n">
        <v>2</v>
      </c>
      <c r="B7" s="12" t="s">
        <v>125</v>
      </c>
      <c r="C7" s="13"/>
      <c r="D7" s="14" t="str">
        <f aca="false">IF($C7="","",IF($C7=$H7,"✓ Correct","✗ Review"))</f>
        <v/>
      </c>
      <c r="E7" s="15" t="str">
        <f aca="false">IF($C7="","",IF(OR($C$4="Yes",$C7=$H7),$I7,"Try again — or set Reveal = Yes"))</f>
        <v/>
      </c>
      <c r="H7" s="16" t="s">
        <v>63</v>
      </c>
      <c r="I7" s="16" t="s">
        <v>126</v>
      </c>
    </row>
    <row r="8" customFormat="false" ht="36" hidden="false" customHeight="true" outlineLevel="0" collapsed="false">
      <c r="A8" s="11" t="n">
        <v>3</v>
      </c>
      <c r="B8" s="12" t="s">
        <v>127</v>
      </c>
      <c r="C8" s="13"/>
      <c r="D8" s="14" t="str">
        <f aca="false">IF($C8="","",IF($C8=$H8,"✓ Correct","✗ Review"))</f>
        <v/>
      </c>
      <c r="E8" s="15" t="str">
        <f aca="false">IF($C8="","",IF(OR($C$4="Yes",$C8=$H8),$I8,"Try again — or set Reveal = Yes"))</f>
        <v/>
      </c>
      <c r="H8" s="16" t="s">
        <v>64</v>
      </c>
      <c r="I8" s="16" t="s">
        <v>128</v>
      </c>
    </row>
    <row r="9" customFormat="false" ht="36" hidden="false" customHeight="true" outlineLevel="0" collapsed="false">
      <c r="A9" s="11" t="n">
        <v>4</v>
      </c>
      <c r="B9" s="12" t="s">
        <v>129</v>
      </c>
      <c r="C9" s="13"/>
      <c r="D9" s="14" t="str">
        <f aca="false">IF($C9="","",IF($C9=$H9,"✓ Correct","✗ Review"))</f>
        <v/>
      </c>
      <c r="E9" s="15" t="str">
        <f aca="false">IF($C9="","",IF(OR($C$4="Yes",$C9=$H9),$I9,"Try again — or set Reveal = Yes"))</f>
        <v/>
      </c>
      <c r="H9" s="16" t="s">
        <v>50</v>
      </c>
      <c r="I9" s="16" t="s">
        <v>130</v>
      </c>
    </row>
    <row r="10" customFormat="false" ht="36" hidden="false" customHeight="true" outlineLevel="0" collapsed="false">
      <c r="A10" s="11" t="n">
        <v>5</v>
      </c>
      <c r="B10" s="12" t="s">
        <v>131</v>
      </c>
      <c r="C10" s="13"/>
      <c r="D10" s="14" t="str">
        <f aca="false">IF($C10="","",IF($C10=$H10,"✓ Correct","✗ Review"))</f>
        <v/>
      </c>
      <c r="E10" s="15" t="str">
        <f aca="false">IF($C10="","",IF(OR($C$4="Yes",$C10=$H10),$I10,"Try again — or set Reveal = Yes"))</f>
        <v/>
      </c>
      <c r="H10" s="16" t="s">
        <v>34</v>
      </c>
      <c r="I10" s="16" t="s">
        <v>132</v>
      </c>
    </row>
    <row r="11" customFormat="false" ht="36" hidden="false" customHeight="true" outlineLevel="0" collapsed="false">
      <c r="A11" s="11" t="n">
        <v>6</v>
      </c>
      <c r="B11" s="12" t="s">
        <v>133</v>
      </c>
      <c r="C11" s="13"/>
      <c r="D11" s="14" t="str">
        <f aca="false">IF($C11="","",IF($C11=$H11,"✓ Correct","✗ Review"))</f>
        <v/>
      </c>
      <c r="E11" s="15" t="str">
        <f aca="false">IF($C11="","",IF(OR($C$4="Yes",$C11=$H11),$I11,"Try again — or set Reveal = Yes"))</f>
        <v/>
      </c>
      <c r="H11" s="16" t="s">
        <v>35</v>
      </c>
      <c r="I11" s="16" t="s">
        <v>134</v>
      </c>
    </row>
    <row r="12" customFormat="false" ht="36" hidden="false" customHeight="true" outlineLevel="0" collapsed="false">
      <c r="A12" s="11" t="n">
        <v>7</v>
      </c>
      <c r="B12" s="12" t="s">
        <v>135</v>
      </c>
      <c r="C12" s="13"/>
      <c r="D12" s="14" t="str">
        <f aca="false">IF($C12="","",IF($C12=$H12,"✓ Correct","✗ Review"))</f>
        <v/>
      </c>
      <c r="E12" s="15" t="str">
        <f aca="false">IF($C12="","",IF(OR($C$4="Yes",$C12=$H12),$I12,"Try again — or set Reveal = Yes"))</f>
        <v/>
      </c>
      <c r="H12" s="16" t="s">
        <v>36</v>
      </c>
      <c r="I12" s="16" t="s">
        <v>136</v>
      </c>
    </row>
    <row r="13" customFormat="false" ht="36" hidden="false" customHeight="true" outlineLevel="0" collapsed="false">
      <c r="A13" s="11" t="n">
        <v>8</v>
      </c>
      <c r="B13" s="12" t="s">
        <v>137</v>
      </c>
      <c r="C13" s="13"/>
      <c r="D13" s="14" t="str">
        <f aca="false">IF($C13="","",IF($C13=$H13,"✓ Correct","✗ Review"))</f>
        <v/>
      </c>
      <c r="E13" s="15" t="str">
        <f aca="false">IF($C13="","",IF(OR($C$4="Yes",$C13=$H13),$I13,"Try again — or set Reveal = Yes"))</f>
        <v/>
      </c>
      <c r="H13" s="16" t="s">
        <v>37</v>
      </c>
      <c r="I13" s="16" t="s">
        <v>138</v>
      </c>
    </row>
    <row r="14" customFormat="false" ht="19.5" hidden="false" customHeight="true" outlineLevel="0" collapsed="false">
      <c r="A14" s="17" t="s">
        <v>139</v>
      </c>
      <c r="B14" s="17"/>
      <c r="C14" s="17"/>
      <c r="D14" s="17"/>
      <c r="E14" s="17"/>
    </row>
    <row r="15" customFormat="false" ht="36" hidden="false" customHeight="true" outlineLevel="0" collapsed="false">
      <c r="A15" s="11" t="n">
        <v>9</v>
      </c>
      <c r="B15" s="12" t="s">
        <v>140</v>
      </c>
      <c r="C15" s="13"/>
      <c r="D15" s="14" t="str">
        <f aca="false">IF($C15="","",IF($C15=$H15,"✓ Correct","✗ Review"))</f>
        <v/>
      </c>
      <c r="E15" s="15" t="str">
        <f aca="false">IF($C15="","",IF(OR($C$4="Yes",$C15=$H15),$I15,"Try again — or set Reveal = Yes"))</f>
        <v/>
      </c>
      <c r="H15" s="16" t="s">
        <v>38</v>
      </c>
      <c r="I15" s="16" t="s">
        <v>141</v>
      </c>
    </row>
    <row r="16" customFormat="false" ht="36" hidden="false" customHeight="true" outlineLevel="0" collapsed="false">
      <c r="A16" s="11" t="n">
        <v>10</v>
      </c>
      <c r="B16" s="12" t="s">
        <v>142</v>
      </c>
      <c r="C16" s="13"/>
      <c r="D16" s="14" t="str">
        <f aca="false">IF($C16="","",IF($C16=$H16,"✓ Correct","✗ Review"))</f>
        <v/>
      </c>
      <c r="E16" s="15" t="str">
        <f aca="false">IF($C16="","",IF(OR($C$4="Yes",$C16=$H16),$I16,"Try again — or set Reveal = Yes"))</f>
        <v/>
      </c>
      <c r="H16" s="16" t="s">
        <v>39</v>
      </c>
      <c r="I16" s="16" t="s">
        <v>143</v>
      </c>
    </row>
    <row r="17" customFormat="false" ht="36" hidden="false" customHeight="true" outlineLevel="0" collapsed="false">
      <c r="A17" s="11" t="n">
        <v>11</v>
      </c>
      <c r="B17" s="12" t="s">
        <v>144</v>
      </c>
      <c r="C17" s="13"/>
      <c r="D17" s="14" t="str">
        <f aca="false">IF($C17="","",IF($C17=$H17,"✓ Correct","✗ Review"))</f>
        <v/>
      </c>
      <c r="E17" s="15" t="str">
        <f aca="false">IF($C17="","",IF(OR($C$4="Yes",$C17=$H17),$I17,"Try again — or set Reveal = Yes"))</f>
        <v/>
      </c>
      <c r="H17" s="16" t="s">
        <v>40</v>
      </c>
      <c r="I17" s="16" t="s">
        <v>145</v>
      </c>
    </row>
    <row r="18" customFormat="false" ht="36" hidden="false" customHeight="true" outlineLevel="0" collapsed="false">
      <c r="A18" s="11" t="n">
        <v>12</v>
      </c>
      <c r="B18" s="12" t="s">
        <v>146</v>
      </c>
      <c r="C18" s="13"/>
      <c r="D18" s="14" t="str">
        <f aca="false">IF($C18="","",IF($C18=$H18,"✓ Correct","✗ Review"))</f>
        <v/>
      </c>
      <c r="E18" s="15" t="str">
        <f aca="false">IF($C18="","",IF(OR($C$4="Yes",$C18=$H18),$I18,"Try again — or set Reveal = Yes"))</f>
        <v/>
      </c>
      <c r="H18" s="16" t="s">
        <v>41</v>
      </c>
      <c r="I18" s="16" t="s">
        <v>147</v>
      </c>
    </row>
  </sheetData>
  <mergeCells count="4">
    <mergeCell ref="A1:E1"/>
    <mergeCell ref="A2:E2"/>
    <mergeCell ref="A4:B4"/>
    <mergeCell ref="A14:E14"/>
  </mergeCells>
  <conditionalFormatting sqref="D6:D18">
    <cfRule type="expression" priority="2" aboveAverage="0" equalAverage="0" bottom="0" percent="0" rank="0" text="" dxfId="0">
      <formula>ISNUMBER(SEARCH("Correct",$D6))</formula>
    </cfRule>
    <cfRule type="expression" priority="3" aboveAverage="0" equalAverage="0" bottom="0" percent="0" rank="0" text="" dxfId="1">
      <formula>ISNUMBER(SEARCH("Review",$D6))</formula>
    </cfRule>
  </conditionalFormatting>
  <dataValidations count="13">
    <dataValidation allowBlank="false" errorStyle="stop" operator="between" showDropDown="false" showErrorMessage="false" showInputMessage="false" sqref="C4" type="list">
      <formula1>"No,Yes"</formula1>
      <formula2>0</formula2>
    </dataValidation>
    <dataValidation allowBlank="true" errorStyle="stop" operator="between" showDropDown="false" showErrorMessage="false" showInputMessage="false" sqref="C6" type="list">
      <formula1>Key!$A$2:$A$3</formula1>
      <formula2>0</formula2>
    </dataValidation>
    <dataValidation allowBlank="true" errorStyle="stop" operator="between" showDropDown="false" showErrorMessage="false" showInputMessage="false" sqref="C7" type="list">
      <formula1>Key!$B$2:$B$4</formula1>
      <formula2>0</formula2>
    </dataValidation>
    <dataValidation allowBlank="true" errorStyle="stop" operator="between" showDropDown="false" showErrorMessage="false" showInputMessage="false" sqref="C8" type="list">
      <formula1>Key!$C$2:$C$5</formula1>
      <formula2>0</formula2>
    </dataValidation>
    <dataValidation allowBlank="true" errorStyle="stop" operator="between" showDropDown="false" showErrorMessage="false" showInputMessage="false" sqref="C9" type="list">
      <formula1>Key!$D$2:$D$3</formula1>
      <formula2>0</formula2>
    </dataValidation>
    <dataValidation allowBlank="true" errorStyle="stop" operator="between" showDropDown="false" showErrorMessage="false" showInputMessage="false" sqref="C10" type="list">
      <formula1>Key!$E$2:$E$5</formula1>
      <formula2>0</formula2>
    </dataValidation>
    <dataValidation allowBlank="true" errorStyle="stop" operator="between" showDropDown="false" showErrorMessage="false" showInputMessage="false" sqref="C11" type="list">
      <formula1>Key!$F$2:$F$5</formula1>
      <formula2>0</formula2>
    </dataValidation>
    <dataValidation allowBlank="true" errorStyle="stop" operator="between" showDropDown="false" showErrorMessage="false" showInputMessage="false" sqref="C12" type="list">
      <formula1>Key!$G$2:$G$5</formula1>
      <formula2>0</formula2>
    </dataValidation>
    <dataValidation allowBlank="true" errorStyle="stop" operator="between" showDropDown="false" showErrorMessage="false" showInputMessage="false" sqref="C13" type="list">
      <formula1>Key!$H$2:$H$5</formula1>
      <formula2>0</formula2>
    </dataValidation>
    <dataValidation allowBlank="true" errorStyle="stop" operator="between" showDropDown="false" showErrorMessage="false" showInputMessage="false" sqref="C15" type="list">
      <formula1>Key!$I$2:$I$5</formula1>
      <formula2>0</formula2>
    </dataValidation>
    <dataValidation allowBlank="true" errorStyle="stop" operator="between" showDropDown="false" showErrorMessage="false" showInputMessage="false" sqref="C16" type="list">
      <formula1>Key!$J$2:$J$5</formula1>
      <formula2>0</formula2>
    </dataValidation>
    <dataValidation allowBlank="true" errorStyle="stop" operator="between" showDropDown="false" showErrorMessage="false" showInputMessage="false" sqref="C17" type="list">
      <formula1>Key!$K$2:$K$5</formula1>
      <formula2>0</formula2>
    </dataValidation>
    <dataValidation allowBlank="true" errorStyle="stop" operator="between" showDropDown="false" showErrorMessage="false" showInputMessage="false" sqref="C18" type="list">
      <formula1>Key!$L$2:$L$5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true" outlineLevel="0" max="9" min="8" style="0" width="13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149</v>
      </c>
      <c r="B2" s="2"/>
      <c r="C2" s="2"/>
      <c r="D2" s="2"/>
      <c r="E2" s="2"/>
      <c r="F2" s="2"/>
    </row>
    <row r="4" customFormat="false" ht="16.15" hidden="false" customHeight="false" outlineLevel="0" collapsed="false">
      <c r="A4" s="6" t="s">
        <v>115</v>
      </c>
      <c r="B4" s="6"/>
      <c r="C4" s="7" t="s">
        <v>116</v>
      </c>
      <c r="D4" s="8" t="s">
        <v>117</v>
      </c>
      <c r="E4" s="9" t="str">
        <f aca="false">COUNTIF(E6:E13,"*Correct*")&amp;" / 8"</f>
        <v>0 / 8</v>
      </c>
    </row>
    <row r="5" customFormat="false" ht="21.75" hidden="false" customHeight="true" outlineLevel="0" collapsed="false">
      <c r="A5" s="10" t="s">
        <v>150</v>
      </c>
      <c r="B5" s="10" t="s">
        <v>151</v>
      </c>
      <c r="C5" s="10" t="s">
        <v>152</v>
      </c>
      <c r="D5" s="10" t="s">
        <v>153</v>
      </c>
      <c r="E5" s="10" t="s">
        <v>121</v>
      </c>
      <c r="F5" s="10" t="s">
        <v>154</v>
      </c>
    </row>
    <row r="6" customFormat="false" ht="37.5" hidden="false" customHeight="true" outlineLevel="0" collapsed="false">
      <c r="A6" s="11" t="n">
        <v>1</v>
      </c>
      <c r="B6" s="18" t="s">
        <v>155</v>
      </c>
      <c r="C6" s="19" t="s">
        <v>156</v>
      </c>
      <c r="D6" s="20"/>
      <c r="E6" s="14" t="str">
        <f aca="false">IF($D6="","",IF($D6=$H6,"✓ Correct","✗ Review"))</f>
        <v/>
      </c>
      <c r="F6" s="21" t="str">
        <f aca="false">IF($D6="","",IF(OR($C$4="Yes",$D6=$H6),$I6,"—"))</f>
        <v/>
      </c>
      <c r="H6" s="16" t="s">
        <v>42</v>
      </c>
      <c r="I6" s="16" t="s">
        <v>157</v>
      </c>
    </row>
    <row r="7" customFormat="false" ht="37.5" hidden="false" customHeight="true" outlineLevel="0" collapsed="false">
      <c r="A7" s="11" t="n">
        <v>2</v>
      </c>
      <c r="B7" s="18" t="s">
        <v>158</v>
      </c>
      <c r="C7" s="19" t="s">
        <v>159</v>
      </c>
      <c r="D7" s="20"/>
      <c r="E7" s="14" t="str">
        <f aca="false">IF($D7="","",IF($D7=$H7,"✓ Correct","✗ Review"))</f>
        <v/>
      </c>
      <c r="F7" s="21" t="str">
        <f aca="false">IF($D7="","",IF(OR($C$4="Yes",$D7=$H7),$I7,"—"))</f>
        <v/>
      </c>
      <c r="H7" s="16" t="s">
        <v>42</v>
      </c>
      <c r="I7" s="16" t="s">
        <v>160</v>
      </c>
    </row>
    <row r="8" customFormat="false" ht="37.5" hidden="false" customHeight="true" outlineLevel="0" collapsed="false">
      <c r="A8" s="11" t="n">
        <v>3</v>
      </c>
      <c r="B8" s="18" t="s">
        <v>155</v>
      </c>
      <c r="C8" s="19" t="s">
        <v>161</v>
      </c>
      <c r="D8" s="20"/>
      <c r="E8" s="14" t="str">
        <f aca="false">IF($D8="","",IF($D8=$H8,"✓ Correct","✗ Review"))</f>
        <v/>
      </c>
      <c r="F8" s="21" t="str">
        <f aca="false">IF($D8="","",IF(OR($C$4="Yes",$D8=$H8),$I8,"—"))</f>
        <v/>
      </c>
      <c r="H8" s="16" t="s">
        <v>59</v>
      </c>
      <c r="I8" s="16" t="s">
        <v>162</v>
      </c>
    </row>
    <row r="9" customFormat="false" ht="37.5" hidden="false" customHeight="true" outlineLevel="0" collapsed="false">
      <c r="A9" s="11" t="n">
        <v>4</v>
      </c>
      <c r="B9" s="18" t="s">
        <v>155</v>
      </c>
      <c r="C9" s="19" t="s">
        <v>163</v>
      </c>
      <c r="D9" s="20"/>
      <c r="E9" s="14" t="str">
        <f aca="false">IF($D9="","",IF($D9=$H9,"✓ Correct","✗ Review"))</f>
        <v/>
      </c>
      <c r="F9" s="21" t="str">
        <f aca="false">IF($D9="","",IF(OR($C$4="Yes",$D9=$H9),$I9,"—"))</f>
        <v/>
      </c>
      <c r="H9" s="16" t="s">
        <v>73</v>
      </c>
      <c r="I9" s="16" t="s">
        <v>164</v>
      </c>
    </row>
    <row r="10" customFormat="false" ht="37.5" hidden="false" customHeight="true" outlineLevel="0" collapsed="false">
      <c r="A10" s="11" t="n">
        <v>5</v>
      </c>
      <c r="B10" s="18" t="s">
        <v>158</v>
      </c>
      <c r="C10" s="19" t="s">
        <v>165</v>
      </c>
      <c r="D10" s="20"/>
      <c r="E10" s="14" t="str">
        <f aca="false">IF($D10="","",IF($D10=$H10,"✓ Correct","✗ Review"))</f>
        <v/>
      </c>
      <c r="F10" s="21" t="str">
        <f aca="false">IF($D10="","",IF(OR($C$4="Yes",$D10=$H10),$I10,"—"))</f>
        <v/>
      </c>
      <c r="H10" s="16" t="s">
        <v>87</v>
      </c>
      <c r="I10" s="16" t="s">
        <v>166</v>
      </c>
    </row>
    <row r="11" customFormat="false" ht="37.5" hidden="false" customHeight="true" outlineLevel="0" collapsed="false">
      <c r="A11" s="11" t="n">
        <v>6</v>
      </c>
      <c r="B11" s="18" t="s">
        <v>158</v>
      </c>
      <c r="C11" s="19" t="s">
        <v>167</v>
      </c>
      <c r="D11" s="20"/>
      <c r="E11" s="14" t="str">
        <f aca="false">IF($D11="","",IF($D11=$H11,"✓ Correct","✗ Review"))</f>
        <v/>
      </c>
      <c r="F11" s="21" t="str">
        <f aca="false">IF($D11="","",IF(OR($C$4="Yes",$D11=$H11),$I11,"—"))</f>
        <v/>
      </c>
      <c r="H11" s="16" t="s">
        <v>42</v>
      </c>
      <c r="I11" s="16" t="s">
        <v>168</v>
      </c>
    </row>
    <row r="12" customFormat="false" ht="37.5" hidden="false" customHeight="true" outlineLevel="0" collapsed="false">
      <c r="A12" s="11" t="n">
        <v>7</v>
      </c>
      <c r="B12" s="18" t="s">
        <v>155</v>
      </c>
      <c r="C12" s="19" t="s">
        <v>169</v>
      </c>
      <c r="D12" s="20"/>
      <c r="E12" s="14" t="str">
        <f aca="false">IF($D12="","",IF($D12=$H12,"✓ Correct","✗ Review"))</f>
        <v/>
      </c>
      <c r="F12" s="21" t="str">
        <f aca="false">IF($D12="","",IF(OR($C$4="Yes",$D12=$H12),$I12,"—"))</f>
        <v/>
      </c>
      <c r="H12" s="16" t="s">
        <v>42</v>
      </c>
      <c r="I12" s="16" t="s">
        <v>170</v>
      </c>
    </row>
    <row r="13" customFormat="false" ht="37.5" hidden="false" customHeight="true" outlineLevel="0" collapsed="false">
      <c r="A13" s="11" t="n">
        <v>8</v>
      </c>
      <c r="B13" s="18" t="s">
        <v>158</v>
      </c>
      <c r="C13" s="19" t="s">
        <v>171</v>
      </c>
      <c r="D13" s="20"/>
      <c r="E13" s="14" t="str">
        <f aca="false">IF($D13="","",IF($D13=$H13,"✓ Correct","✗ Review"))</f>
        <v/>
      </c>
      <c r="F13" s="21" t="str">
        <f aca="false">IF($D13="","",IF(OR($C$4="Yes",$D13=$H13),$I13,"—"))</f>
        <v/>
      </c>
      <c r="H13" s="16" t="s">
        <v>42</v>
      </c>
      <c r="I13" s="16" t="s">
        <v>172</v>
      </c>
    </row>
  </sheetData>
  <mergeCells count="3">
    <mergeCell ref="A1:F1"/>
    <mergeCell ref="A2:F2"/>
    <mergeCell ref="A4:B4"/>
  </mergeCells>
  <conditionalFormatting sqref="E6:E13">
    <cfRule type="expression" priority="2" aboveAverage="0" equalAverage="0" bottom="0" percent="0" rank="0" text="" dxfId="0">
      <formula>ISNUMBER(SEARCH("Correct",$E6))</formula>
    </cfRule>
    <cfRule type="expression" priority="3" aboveAverage="0" equalAverage="0" bottom="0" percent="0" rank="0" text="" dxfId="1">
      <formula>ISNUMBER(SEARCH("Review",$E6))</formula>
    </cfRule>
  </conditionalFormatting>
  <dataValidations count="2">
    <dataValidation allowBlank="false" errorStyle="stop" operator="between" showDropDown="false" showErrorMessage="false" showInputMessage="false" sqref="C4" type="list">
      <formula1>"No,Yes"</formula1>
      <formula2>0</formula2>
    </dataValidation>
    <dataValidation allowBlank="true" errorStyle="stop" operator="between" showDropDown="false" showErrorMessage="false" showInputMessage="false" sqref="D6:D13" type="list">
      <formula1>Key!$M$2:$M$6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25.5" hidden="false" customHeight="true" outlineLevel="0" collapsed="false">
      <c r="A1" s="1" t="s">
        <v>173</v>
      </c>
      <c r="B1" s="1"/>
      <c r="C1" s="1"/>
      <c r="D1" s="1"/>
      <c r="E1" s="1"/>
    </row>
    <row r="2" customFormat="false" ht="18" hidden="false" customHeight="true" outlineLevel="0" collapsed="false">
      <c r="A2" s="2" t="s">
        <v>174</v>
      </c>
      <c r="B2" s="2"/>
      <c r="C2" s="2"/>
      <c r="D2" s="2"/>
      <c r="E2" s="2"/>
    </row>
    <row r="4" customFormat="false" ht="15" hidden="false" customHeight="true" outlineLevel="0" collapsed="false">
      <c r="A4" s="8" t="s">
        <v>175</v>
      </c>
      <c r="B4" s="22" t="s">
        <v>45</v>
      </c>
      <c r="C4" s="22"/>
      <c r="D4" s="23" t="str">
        <f aca="false">IFERROR("→  "&amp;VLOOKUP($B$4,Key!$P$2:$Q$9,2,FALSE()),"—")</f>
        <v>→  Hand-rolled to learn, then ship in Strands</v>
      </c>
      <c r="E4" s="23"/>
      <c r="F4" s="23"/>
    </row>
    <row r="6" customFormat="false" ht="21.75" hidden="false" customHeight="true" outlineLevel="0" collapsed="false">
      <c r="A6" s="10" t="s">
        <v>176</v>
      </c>
      <c r="B6" s="10" t="s">
        <v>177</v>
      </c>
      <c r="C6" s="10" t="s">
        <v>62</v>
      </c>
      <c r="D6" s="10" t="s">
        <v>77</v>
      </c>
      <c r="E6" s="10" t="s">
        <v>178</v>
      </c>
    </row>
    <row r="7" customFormat="false" ht="25.5" hidden="false" customHeight="true" outlineLevel="0" collapsed="false">
      <c r="A7" s="12" t="s">
        <v>45</v>
      </c>
      <c r="B7" s="24" t="s">
        <v>179</v>
      </c>
      <c r="C7" s="25" t="s">
        <v>180</v>
      </c>
      <c r="D7" s="26" t="s">
        <v>116</v>
      </c>
      <c r="E7" s="26" t="s">
        <v>116</v>
      </c>
    </row>
    <row r="8" customFormat="false" ht="25.5" hidden="false" customHeight="true" outlineLevel="0" collapsed="false">
      <c r="A8" s="12" t="s">
        <v>61</v>
      </c>
      <c r="B8" s="26" t="s">
        <v>116</v>
      </c>
      <c r="C8" s="24" t="s">
        <v>179</v>
      </c>
      <c r="D8" s="25" t="s">
        <v>180</v>
      </c>
      <c r="E8" s="26" t="s">
        <v>116</v>
      </c>
    </row>
    <row r="9" customFormat="false" ht="25.5" hidden="false" customHeight="true" outlineLevel="0" collapsed="false">
      <c r="A9" s="12" t="s">
        <v>76</v>
      </c>
      <c r="B9" s="26" t="s">
        <v>116</v>
      </c>
      <c r="C9" s="26" t="s">
        <v>116</v>
      </c>
      <c r="D9" s="24" t="s">
        <v>179</v>
      </c>
      <c r="E9" s="26" t="s">
        <v>116</v>
      </c>
    </row>
    <row r="10" customFormat="false" ht="25.5" hidden="false" customHeight="true" outlineLevel="0" collapsed="false">
      <c r="A10" s="12" t="s">
        <v>181</v>
      </c>
      <c r="B10" s="26" t="s">
        <v>116</v>
      </c>
      <c r="C10" s="26" t="s">
        <v>116</v>
      </c>
      <c r="D10" s="25" t="s">
        <v>180</v>
      </c>
      <c r="E10" s="24" t="s">
        <v>179</v>
      </c>
    </row>
    <row r="11" customFormat="false" ht="25.5" hidden="false" customHeight="true" outlineLevel="0" collapsed="false">
      <c r="A11" s="12" t="s">
        <v>182</v>
      </c>
      <c r="B11" s="26" t="s">
        <v>116</v>
      </c>
      <c r="C11" s="26" t="s">
        <v>116</v>
      </c>
      <c r="D11" s="25" t="s">
        <v>180</v>
      </c>
      <c r="E11" s="24" t="s">
        <v>179</v>
      </c>
    </row>
    <row r="12" customFormat="false" ht="25.5" hidden="false" customHeight="true" outlineLevel="0" collapsed="false">
      <c r="A12" s="12" t="s">
        <v>183</v>
      </c>
      <c r="B12" s="26" t="s">
        <v>116</v>
      </c>
      <c r="C12" s="25" t="s">
        <v>180</v>
      </c>
      <c r="D12" s="25" t="s">
        <v>180</v>
      </c>
      <c r="E12" s="24" t="s">
        <v>179</v>
      </c>
    </row>
    <row r="13" customFormat="false" ht="25.5" hidden="false" customHeight="true" outlineLevel="0" collapsed="false">
      <c r="A13" s="12" t="s">
        <v>103</v>
      </c>
      <c r="B13" s="26" t="s">
        <v>116</v>
      </c>
      <c r="C13" s="25" t="s">
        <v>180</v>
      </c>
      <c r="D13" s="25" t="s">
        <v>180</v>
      </c>
      <c r="E13" s="24" t="s">
        <v>179</v>
      </c>
    </row>
    <row r="14" customFormat="false" ht="25.5" hidden="false" customHeight="true" outlineLevel="0" collapsed="false">
      <c r="A14" s="12" t="s">
        <v>184</v>
      </c>
      <c r="B14" s="24" t="s">
        <v>179</v>
      </c>
      <c r="C14" s="25" t="s">
        <v>180</v>
      </c>
      <c r="D14" s="26" t="s">
        <v>116</v>
      </c>
      <c r="E14" s="26" t="s">
        <v>116</v>
      </c>
    </row>
    <row r="16" customFormat="false" ht="31.5" hidden="false" customHeight="true" outlineLevel="0" collapsed="false">
      <c r="A16" s="27" t="s">
        <v>185</v>
      </c>
      <c r="B16" s="27"/>
      <c r="C16" s="27"/>
      <c r="D16" s="27"/>
      <c r="E16" s="27"/>
      <c r="F16" s="27"/>
    </row>
  </sheetData>
  <mergeCells count="5">
    <mergeCell ref="A1:E1"/>
    <mergeCell ref="A2:E2"/>
    <mergeCell ref="B4:C4"/>
    <mergeCell ref="D4:F4"/>
    <mergeCell ref="A16:F16"/>
  </mergeCells>
  <dataValidations count="1">
    <dataValidation allowBlank="true" errorStyle="stop" operator="between" showDropDown="false" showErrorMessage="false" showInputMessage="false" sqref="B4" type="list">
      <formula1>Key!$P$2:$P$9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34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true" outlineLevel="0" max="10" min="8" style="0" width="13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187</v>
      </c>
      <c r="B2" s="2"/>
      <c r="C2" s="2"/>
      <c r="D2" s="2"/>
      <c r="E2" s="2"/>
      <c r="F2" s="2"/>
    </row>
    <row r="4" customFormat="false" ht="16.15" hidden="false" customHeight="false" outlineLevel="0" collapsed="false">
      <c r="A4" s="6" t="s">
        <v>115</v>
      </c>
      <c r="B4" s="6"/>
      <c r="C4" s="7" t="s">
        <v>116</v>
      </c>
      <c r="D4" s="8" t="s">
        <v>117</v>
      </c>
      <c r="E4" s="9" t="str">
        <f aca="false">COUNTIF(E6:E15,"*Correct*")&amp;" / 10"</f>
        <v>0 / 10</v>
      </c>
    </row>
    <row r="5" customFormat="false" ht="21.75" hidden="false" customHeight="true" outlineLevel="0" collapsed="false">
      <c r="A5" s="10" t="s">
        <v>118</v>
      </c>
      <c r="B5" s="10" t="s">
        <v>188</v>
      </c>
      <c r="C5" s="10" t="s">
        <v>189</v>
      </c>
      <c r="D5" s="10" t="s">
        <v>190</v>
      </c>
      <c r="E5" s="10" t="s">
        <v>121</v>
      </c>
      <c r="F5" s="10" t="s">
        <v>191</v>
      </c>
    </row>
    <row r="6" customFormat="false" ht="39.75" hidden="false" customHeight="true" outlineLevel="0" collapsed="false">
      <c r="A6" s="11" t="n">
        <v>1</v>
      </c>
      <c r="B6" s="28" t="s">
        <v>192</v>
      </c>
      <c r="C6" s="20"/>
      <c r="D6" s="20"/>
      <c r="E6" s="14" t="str">
        <f aca="false">IF(OR($C6="",$D6=""),"",IF(AND($C6=$H6,$D6=$I6),"✓ Correct","✗ Review"))</f>
        <v/>
      </c>
      <c r="F6" s="21" t="str">
        <f aca="false">IF(OR($C6="",$D6=""),"",IF(OR($C$4="Yes",AND($C6=$H6,$D6=$I6)),$J6,"Try again — or set Reveal = Yes"))</f>
        <v/>
      </c>
      <c r="H6" s="16" t="s">
        <v>43</v>
      </c>
      <c r="I6" s="16" t="s">
        <v>44</v>
      </c>
      <c r="J6" s="16" t="s">
        <v>193</v>
      </c>
    </row>
    <row r="7" customFormat="false" ht="39.75" hidden="false" customHeight="true" outlineLevel="0" collapsed="false">
      <c r="A7" s="11" t="n">
        <v>2</v>
      </c>
      <c r="B7" s="28" t="s">
        <v>194</v>
      </c>
      <c r="C7" s="20"/>
      <c r="D7" s="20"/>
      <c r="E7" s="14" t="str">
        <f aca="false">IF(OR($C7="",$D7=""),"",IF(AND($C7=$H7,$D7=$I7),"✓ Correct","✗ Review"))</f>
        <v/>
      </c>
      <c r="F7" s="21" t="str">
        <f aca="false">IF(OR($C7="",$D7=""),"",IF(OR($C$4="Yes",AND($C7=$H7,$D7=$I7)),$J7,"Try again — or set Reveal = Yes"))</f>
        <v/>
      </c>
      <c r="H7" s="16" t="s">
        <v>60</v>
      </c>
      <c r="I7" s="16" t="s">
        <v>36</v>
      </c>
      <c r="J7" s="16" t="s">
        <v>195</v>
      </c>
    </row>
    <row r="8" customFormat="false" ht="39.75" hidden="false" customHeight="true" outlineLevel="0" collapsed="false">
      <c r="A8" s="11" t="n">
        <v>3</v>
      </c>
      <c r="B8" s="28" t="s">
        <v>196</v>
      </c>
      <c r="C8" s="20"/>
      <c r="D8" s="20"/>
      <c r="E8" s="14" t="str">
        <f aca="false">IF(OR($C8="",$D8=""),"",IF(AND($C8=$H8,$D8=$I8),"✓ Correct","✗ Review"))</f>
        <v/>
      </c>
      <c r="F8" s="21" t="str">
        <f aca="false">IF(OR($C8="",$D8=""),"",IF(OR($C$4="Yes",AND($C8=$H8,$D8=$I8)),$J8,"Try again — or set Reveal = Yes"))</f>
        <v/>
      </c>
      <c r="H8" s="16" t="s">
        <v>74</v>
      </c>
      <c r="I8" s="16" t="s">
        <v>75</v>
      </c>
      <c r="J8" s="16" t="s">
        <v>197</v>
      </c>
    </row>
    <row r="9" customFormat="false" ht="39.75" hidden="false" customHeight="true" outlineLevel="0" collapsed="false">
      <c r="A9" s="11" t="n">
        <v>4</v>
      </c>
      <c r="B9" s="28" t="s">
        <v>198</v>
      </c>
      <c r="C9" s="20"/>
      <c r="D9" s="20"/>
      <c r="E9" s="14" t="str">
        <f aca="false">IF(OR($C9="",$D9=""),"",IF(AND($C9=$H9,$D9=$I9),"✓ Correct","✗ Review"))</f>
        <v/>
      </c>
      <c r="F9" s="21" t="str">
        <f aca="false">IF(OR($C9="",$D9=""),"",IF(OR($C$4="Yes",AND($C9=$H9,$D9=$I9)),$J9,"Try again — or set Reveal = Yes"))</f>
        <v/>
      </c>
      <c r="H9" s="16" t="s">
        <v>88</v>
      </c>
      <c r="I9" s="16" t="s">
        <v>89</v>
      </c>
      <c r="J9" s="16" t="s">
        <v>199</v>
      </c>
    </row>
    <row r="10" customFormat="false" ht="39.75" hidden="false" customHeight="true" outlineLevel="0" collapsed="false">
      <c r="A10" s="11" t="n">
        <v>5</v>
      </c>
      <c r="B10" s="28" t="s">
        <v>200</v>
      </c>
      <c r="C10" s="20"/>
      <c r="D10" s="20"/>
      <c r="E10" s="14" t="str">
        <f aca="false">IF(OR($C10="",$D10=""),"",IF(AND($C10=$H10,$D10=$I10),"✓ Correct","✗ Review"))</f>
        <v/>
      </c>
      <c r="F10" s="21" t="str">
        <f aca="false">IF(OR($C10="",$D10=""),"",IF(OR($C$4="Yes",AND($C10=$H10,$D10=$I10)),$J10,"Try again — or set Reveal = Yes"))</f>
        <v/>
      </c>
      <c r="H10" s="16" t="s">
        <v>93</v>
      </c>
      <c r="I10" s="16" t="s">
        <v>94</v>
      </c>
      <c r="J10" s="16" t="s">
        <v>201</v>
      </c>
    </row>
    <row r="11" customFormat="false" ht="39.75" hidden="false" customHeight="true" outlineLevel="0" collapsed="false">
      <c r="A11" s="11" t="n">
        <v>6</v>
      </c>
      <c r="B11" s="28" t="s">
        <v>202</v>
      </c>
      <c r="C11" s="20"/>
      <c r="D11" s="20"/>
      <c r="E11" s="14" t="str">
        <f aca="false">IF(OR($C11="",$D11=""),"",IF(AND($C11=$H11,$D11=$I11),"✓ Correct","✗ Review"))</f>
        <v/>
      </c>
      <c r="F11" s="21" t="str">
        <f aca="false">IF(OR($C11="",$D11=""),"",IF(OR($C$4="Yes",AND($C11=$H11,$D11=$I11)),$J11,"Try again — or set Reveal = Yes"))</f>
        <v/>
      </c>
      <c r="H11" s="16" t="s">
        <v>97</v>
      </c>
      <c r="I11" s="16" t="s">
        <v>98</v>
      </c>
      <c r="J11" s="16" t="s">
        <v>203</v>
      </c>
    </row>
    <row r="12" customFormat="false" ht="39.75" hidden="false" customHeight="true" outlineLevel="0" collapsed="false">
      <c r="A12" s="11" t="n">
        <v>7</v>
      </c>
      <c r="B12" s="28" t="s">
        <v>204</v>
      </c>
      <c r="C12" s="20"/>
      <c r="D12" s="20"/>
      <c r="E12" s="14" t="str">
        <f aca="false">IF(OR($C12="",$D12=""),"",IF(AND($C12=$H12,$D12=$I12),"✓ Correct","✗ Review"))</f>
        <v/>
      </c>
      <c r="F12" s="21" t="str">
        <f aca="false">IF(OR($C12="",$D12=""),"",IF(OR($C$4="Yes",AND($C12=$H12,$D12=$I12)),$J12,"Try again — or set Reveal = Yes"))</f>
        <v/>
      </c>
      <c r="H12" s="16" t="s">
        <v>101</v>
      </c>
      <c r="I12" s="16" t="s">
        <v>102</v>
      </c>
      <c r="J12" s="16" t="s">
        <v>205</v>
      </c>
    </row>
    <row r="13" customFormat="false" ht="39.75" hidden="false" customHeight="true" outlineLevel="0" collapsed="false">
      <c r="A13" s="11" t="n">
        <v>8</v>
      </c>
      <c r="B13" s="28" t="s">
        <v>206</v>
      </c>
      <c r="C13" s="20"/>
      <c r="D13" s="20"/>
      <c r="E13" s="14" t="str">
        <f aca="false">IF(OR($C13="",$D13=""),"",IF(AND($C13=$H13,$D13=$I13),"✓ Correct","✗ Review"))</f>
        <v/>
      </c>
      <c r="F13" s="21" t="str">
        <f aca="false">IF(OR($C13="",$D13=""),"",IF(OR($C$4="Yes",AND($C13=$H13,$D13=$I13)),$J13,"Try again — or set Reveal = Yes"))</f>
        <v/>
      </c>
      <c r="H13" s="16" t="s">
        <v>105</v>
      </c>
      <c r="I13" s="16" t="s">
        <v>106</v>
      </c>
      <c r="J13" s="16" t="s">
        <v>207</v>
      </c>
    </row>
    <row r="14" customFormat="false" ht="39.75" hidden="false" customHeight="true" outlineLevel="0" collapsed="false">
      <c r="A14" s="11" t="n">
        <v>9</v>
      </c>
      <c r="B14" s="28" t="s">
        <v>208</v>
      </c>
      <c r="C14" s="20"/>
      <c r="D14" s="20"/>
      <c r="E14" s="14" t="str">
        <f aca="false">IF(OR($C14="",$D14=""),"",IF(AND($C14=$H14,$D14=$I14),"✓ Correct","✗ Review"))</f>
        <v/>
      </c>
      <c r="F14" s="21" t="str">
        <f aca="false">IF(OR($C14="",$D14=""),"",IF(OR($C$4="Yes",AND($C14=$H14,$D14=$I14)),$J14,"Try again — or set Reveal = Yes"))</f>
        <v/>
      </c>
      <c r="H14" s="16" t="s">
        <v>109</v>
      </c>
      <c r="I14" s="16" t="s">
        <v>110</v>
      </c>
      <c r="J14" s="16" t="s">
        <v>209</v>
      </c>
    </row>
    <row r="15" customFormat="false" ht="39.75" hidden="false" customHeight="true" outlineLevel="0" collapsed="false">
      <c r="A15" s="11" t="n">
        <v>10</v>
      </c>
      <c r="B15" s="28" t="s">
        <v>210</v>
      </c>
      <c r="C15" s="20"/>
      <c r="D15" s="20"/>
      <c r="E15" s="14" t="str">
        <f aca="false">IF(OR($C15="",$D15=""),"",IF(AND($C15=$H15,$D15=$I15),"✓ Correct","✗ Review"))</f>
        <v/>
      </c>
      <c r="F15" s="21" t="str">
        <f aca="false">IF(OR($C15="",$D15=""),"",IF(OR($C$4="Yes",AND($C15=$H15,$D15=$I15)),$J15,"Try again — or set Reveal = Yes"))</f>
        <v/>
      </c>
      <c r="H15" s="16" t="s">
        <v>111</v>
      </c>
      <c r="I15" s="16" t="s">
        <v>112</v>
      </c>
      <c r="J15" s="16" t="s">
        <v>211</v>
      </c>
    </row>
  </sheetData>
  <mergeCells count="3">
    <mergeCell ref="A1:F1"/>
    <mergeCell ref="A2:F2"/>
    <mergeCell ref="A4:B4"/>
  </mergeCells>
  <conditionalFormatting sqref="E6:E15">
    <cfRule type="expression" priority="2" aboveAverage="0" equalAverage="0" bottom="0" percent="0" rank="0" text="" dxfId="0">
      <formula>ISNUMBER(SEARCH("Correct",$E6))</formula>
    </cfRule>
    <cfRule type="expression" priority="3" aboveAverage="0" equalAverage="0" bottom="0" percent="0" rank="0" text="" dxfId="1">
      <formula>ISNUMBER(SEARCH("Review",$E6))</formula>
    </cfRule>
  </conditionalFormatting>
  <dataValidations count="3">
    <dataValidation allowBlank="false" errorStyle="stop" operator="between" showDropDown="false" showErrorMessage="false" showInputMessage="false" sqref="C4" type="list">
      <formula1>"No,Yes"</formula1>
      <formula2>0</formula2>
    </dataValidation>
    <dataValidation allowBlank="true" errorStyle="stop" operator="between" showDropDown="false" showErrorMessage="false" showInputMessage="false" sqref="C6:C15" type="list">
      <formula1>Key!$N$2:$N$11</formula1>
      <formula2>0</formula2>
    </dataValidation>
    <dataValidation allowBlank="true" errorStyle="stop" operator="between" showDropDown="false" showErrorMessage="false" showInputMessage="false" sqref="D6:D15" type="list">
      <formula1>Key!$O$2:$O$11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212</v>
      </c>
      <c r="B1" s="1"/>
      <c r="C1" s="1"/>
      <c r="D1" s="1"/>
    </row>
    <row r="2" customFormat="false" ht="18" hidden="false" customHeight="true" outlineLevel="0" collapsed="false">
      <c r="A2" s="2" t="s">
        <v>213</v>
      </c>
      <c r="B2" s="2"/>
      <c r="C2" s="2"/>
      <c r="D2" s="2"/>
    </row>
    <row r="4" customFormat="false" ht="15" hidden="false" customHeight="false" outlineLevel="0" collapsed="false">
      <c r="A4" s="29" t="s">
        <v>214</v>
      </c>
    </row>
    <row r="5" customFormat="false" ht="19.5" hidden="false" customHeight="true" outlineLevel="0" collapsed="false">
      <c r="A5" s="10" t="s">
        <v>215</v>
      </c>
      <c r="B5" s="10" t="s">
        <v>216</v>
      </c>
      <c r="C5" s="10" t="s">
        <v>217</v>
      </c>
      <c r="D5" s="10" t="s">
        <v>218</v>
      </c>
    </row>
    <row r="6" customFormat="false" ht="15" hidden="false" customHeight="false" outlineLevel="0" collapsed="false">
      <c r="A6" s="12" t="s">
        <v>219</v>
      </c>
      <c r="B6" s="30" t="n">
        <v>3</v>
      </c>
      <c r="C6" s="30" t="n">
        <v>15</v>
      </c>
      <c r="D6" s="31" t="s">
        <v>220</v>
      </c>
    </row>
    <row r="7" customFormat="false" ht="15" hidden="false" customHeight="false" outlineLevel="0" collapsed="false">
      <c r="A7" s="12" t="s">
        <v>221</v>
      </c>
      <c r="B7" s="30" t="n">
        <v>1</v>
      </c>
      <c r="C7" s="30" t="n">
        <v>5</v>
      </c>
      <c r="D7" s="31" t="s">
        <v>222</v>
      </c>
    </row>
    <row r="8" customFormat="false" ht="15" hidden="false" customHeight="false" outlineLevel="0" collapsed="false">
      <c r="A8" s="12" t="s">
        <v>223</v>
      </c>
      <c r="B8" s="30" t="n">
        <v>5</v>
      </c>
      <c r="C8" s="30" t="n">
        <v>25</v>
      </c>
      <c r="D8" s="31" t="s">
        <v>224</v>
      </c>
    </row>
    <row r="9" customFormat="false" ht="15" hidden="false" customHeight="false" outlineLevel="0" collapsed="false">
      <c r="A9" s="12" t="s">
        <v>225</v>
      </c>
      <c r="B9" s="30" t="n">
        <v>0.06</v>
      </c>
      <c r="C9" s="30" t="n">
        <v>0.24</v>
      </c>
      <c r="D9" s="31" t="s">
        <v>226</v>
      </c>
    </row>
    <row r="10" customFormat="false" ht="15" hidden="false" customHeight="false" outlineLevel="0" collapsed="false">
      <c r="A10" s="12" t="s">
        <v>227</v>
      </c>
      <c r="B10" s="30" t="n">
        <v>0.035</v>
      </c>
      <c r="C10" s="30" t="n">
        <v>0.14</v>
      </c>
      <c r="D10" s="31" t="s">
        <v>228</v>
      </c>
    </row>
    <row r="12" customFormat="false" ht="15" hidden="false" customHeight="false" outlineLevel="0" collapsed="false">
      <c r="A12" s="32" t="s">
        <v>229</v>
      </c>
    </row>
    <row r="14" customFormat="false" ht="15" hidden="false" customHeight="false" outlineLevel="0" collapsed="false">
      <c r="A14" s="29" t="s">
        <v>230</v>
      </c>
    </row>
    <row r="15" customFormat="false" ht="19.5" hidden="false" customHeight="true" outlineLevel="0" collapsed="false">
      <c r="A15" s="10" t="s">
        <v>231</v>
      </c>
      <c r="B15" s="10" t="s">
        <v>232</v>
      </c>
      <c r="C15" s="10" t="s">
        <v>218</v>
      </c>
    </row>
    <row r="16" customFormat="false" ht="25.35" hidden="false" customHeight="false" outlineLevel="0" collapsed="false">
      <c r="A16" s="12" t="s">
        <v>233</v>
      </c>
      <c r="B16" s="33" t="s">
        <v>234</v>
      </c>
      <c r="C16" s="31" t="s">
        <v>235</v>
      </c>
    </row>
    <row r="17" customFormat="false" ht="15" hidden="false" customHeight="false" outlineLevel="0" collapsed="false">
      <c r="A17" s="12" t="s">
        <v>236</v>
      </c>
      <c r="B17" s="33" t="s">
        <v>237</v>
      </c>
      <c r="C17" s="31" t="s">
        <v>238</v>
      </c>
    </row>
    <row r="18" customFormat="false" ht="15" hidden="false" customHeight="false" outlineLevel="0" collapsed="false">
      <c r="A18" s="12" t="s">
        <v>239</v>
      </c>
      <c r="B18" s="33" t="s">
        <v>240</v>
      </c>
      <c r="C18" s="31" t="s">
        <v>238</v>
      </c>
    </row>
    <row r="19" customFormat="false" ht="25.35" hidden="false" customHeight="false" outlineLevel="0" collapsed="false">
      <c r="A19" s="12" t="s">
        <v>241</v>
      </c>
      <c r="B19" s="33" t="s">
        <v>242</v>
      </c>
      <c r="C19" s="31" t="s">
        <v>243</v>
      </c>
    </row>
    <row r="20" customFormat="false" ht="25.35" hidden="false" customHeight="false" outlineLevel="0" collapsed="false">
      <c r="A20" s="12" t="s">
        <v>244</v>
      </c>
      <c r="B20" s="33" t="s">
        <v>245</v>
      </c>
      <c r="C20" s="31" t="s">
        <v>246</v>
      </c>
    </row>
    <row r="21" customFormat="false" ht="15" hidden="false" customHeight="false" outlineLevel="0" collapsed="false">
      <c r="A21" s="12" t="s">
        <v>247</v>
      </c>
      <c r="B21" s="33" t="s">
        <v>248</v>
      </c>
      <c r="C21" s="31" t="s">
        <v>249</v>
      </c>
    </row>
    <row r="22" customFormat="false" ht="25.35" hidden="false" customHeight="false" outlineLevel="0" collapsed="false">
      <c r="A22" s="12" t="s">
        <v>250</v>
      </c>
      <c r="B22" s="33" t="s">
        <v>251</v>
      </c>
      <c r="C22" s="31" t="s">
        <v>252</v>
      </c>
    </row>
    <row r="24" customFormat="false" ht="15" hidden="false" customHeight="false" outlineLevel="0" collapsed="false">
      <c r="A24" s="29" t="s">
        <v>253</v>
      </c>
    </row>
    <row r="25" customFormat="false" ht="18" hidden="false" customHeight="true" outlineLevel="0" collapsed="false">
      <c r="A25" s="34" t="s">
        <v>254</v>
      </c>
      <c r="B25" s="34"/>
      <c r="C25" s="34"/>
      <c r="D25" s="34"/>
    </row>
    <row r="26" customFormat="false" ht="18" hidden="false" customHeight="true" outlineLevel="0" collapsed="false">
      <c r="A26" s="34" t="s">
        <v>255</v>
      </c>
      <c r="B26" s="34"/>
      <c r="C26" s="34"/>
      <c r="D26" s="34"/>
    </row>
    <row r="27" customFormat="false" ht="18" hidden="false" customHeight="true" outlineLevel="0" collapsed="false">
      <c r="A27" s="34" t="s">
        <v>256</v>
      </c>
      <c r="B27" s="34"/>
      <c r="C27" s="34"/>
      <c r="D27" s="34"/>
    </row>
  </sheetData>
  <mergeCells count="5">
    <mergeCell ref="A1:D1"/>
    <mergeCell ref="A2:D2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2026-05-31T09:23:03Z</dcterms:created>
  <dc:creator>openpyxl</dc:creator>
  <dc:description/>
  <dc:language>en-US</dc:language>
  <cp:lastModifiedBy/>
  <dcterms:modified xsi:type="dcterms:W3CDTF">2026-05-31T09:23:03Z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