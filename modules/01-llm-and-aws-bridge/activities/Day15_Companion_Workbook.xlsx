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ssary" sheetId="1" state="visible" r:id="rId3"/>
    <sheet name="Pre-work Checklist" sheetId="2" state="visible" r:id="rId4"/>
    <sheet name="Self-Assessment" sheetId="3" state="visible" r:id="rId5"/>
    <sheet name="Pricing Calculat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<sst xmlns="http://schemas.openxmlformats.org/spreadsheetml/2006/main" count="505" uniqueCount="399">
  <si>
    <t xml:space="preserve">Day 1.5 Glossary</t>
  </si>
  <si>
    <t xml:space="preserve">Every term used in the deck, defined for quick reference.</t>
  </si>
  <si>
    <t xml:space="preserve">TERM</t>
  </si>
  <si>
    <t xml:space="preserve">CATEGORY</t>
  </si>
  <si>
    <t xml:space="preserve">DEFINITION</t>
  </si>
  <si>
    <t xml:space="preserve">WHY IT MATTERS</t>
  </si>
  <si>
    <t xml:space="preserve">boto3</t>
  </si>
  <si>
    <t xml:space="preserve">AWS</t>
  </si>
  <si>
    <t xml:space="preserve">AWS's Python SDK. How you'll call Bedrock from Python in Day 2.</t>
  </si>
  <si>
    <t xml:space="preserve">pip install boto3. Pre-work tonight: verify it works.</t>
  </si>
  <si>
    <t xml:space="preserve">CloudTrail</t>
  </si>
  <si>
    <t xml:space="preserve">AWS audit log of all API calls.</t>
  </si>
  <si>
    <t xml:space="preserve">Compliance trail for who called what Bedrock API, when.</t>
  </si>
  <si>
    <t xml:space="preserve">CloudWatch</t>
  </si>
  <si>
    <t xml:space="preserve">AWS's logging and monitoring service.</t>
  </si>
  <si>
    <t xml:space="preserve">Where AgentCore Observability writes traces. Where you'll debug agents.</t>
  </si>
  <si>
    <t xml:space="preserve">IAM</t>
  </si>
  <si>
    <t xml:space="preserve">Identity and Access Management. AWS's permission system.</t>
  </si>
  <si>
    <t xml:space="preserve">Bedrock and AgentCore inherit AWS IAM. Single permission model.</t>
  </si>
  <si>
    <t xml:space="preserve">KMS</t>
  </si>
  <si>
    <t xml:space="preserve">Key Management Service. Encryption-at-rest keys.</t>
  </si>
  <si>
    <t xml:space="preserve">Bedrock data encrypted with customer-managed KMS keys if configured.</t>
  </si>
  <si>
    <t xml:space="preserve">SigV4</t>
  </si>
  <si>
    <t xml:space="preserve">AWS's request signing protocol.</t>
  </si>
  <si>
    <t xml:space="preserve">Default inbound auth mechanism for AgentCore.</t>
  </si>
  <si>
    <t xml:space="preserve">us-west-2</t>
  </si>
  <si>
    <t xml:space="preserve">AWS region (Oregon). Common region with broad Bedrock model availability.</t>
  </si>
  <si>
    <t xml:space="preserve">Where you should enable Bedrock model access for the program.</t>
  </si>
  <si>
    <t xml:space="preserve">VPC</t>
  </si>
  <si>
    <t xml:space="preserve">Virtual Private Cloud. AWS network isolation primitive.</t>
  </si>
  <si>
    <t xml:space="preserve">Required for private connectivity to data sources from agents.</t>
  </si>
  <si>
    <t xml:space="preserve">Agent</t>
  </si>
  <si>
    <t xml:space="preserve">Agent Concepts</t>
  </si>
  <si>
    <t xml:space="preserve">An LLM-driven system that can plan, use tools, and act autonomously.</t>
  </si>
  <si>
    <t xml:space="preserve">The thing this entire program is about building.</t>
  </si>
  <si>
    <t xml:space="preserve">RAG</t>
  </si>
  <si>
    <t xml:space="preserve">Retrieval-Augmented Generation. Fetch relevant chunks, stuff into prompt.</t>
  </si>
  <si>
    <t xml:space="preserve">How agents handle knowledge bases without fine-tuning.</t>
  </si>
  <si>
    <t xml:space="preserve">ReAct Pattern</t>
  </si>
  <si>
    <t xml:space="preserve">Reason-Act loop: model thinks, acts (tool call), observes result, repeats.</t>
  </si>
  <si>
    <t xml:space="preserve">Most common agent loop pattern. We'll see it in Day 2.</t>
  </si>
  <si>
    <t xml:space="preserve">Reranker</t>
  </si>
  <si>
    <t xml:space="preserve">Second-stage model that re-orders retrieved chunks by relevance.</t>
  </si>
  <si>
    <t xml:space="preserve">Bedrock Rerank costs $1.00 per 1K reranking queries.</t>
  </si>
  <si>
    <t xml:space="preserve">Token Amplification</t>
  </si>
  <si>
    <t xml:space="preserve">A single user query in an agent flow consuming 4-8× the estimated tokens.</t>
  </si>
  <si>
    <t xml:space="preserve">Thinking, searching, tool-calling, summarising all cost tokens. Major cost driver.</t>
  </si>
  <si>
    <t xml:space="preserve">Tool Calling / Function Calling</t>
  </si>
  <si>
    <t xml:space="preserve">API mechanism for LLMs to return structured tool invocations instead of text.</t>
  </si>
  <si>
    <t xml:space="preserve">Native support varies. Bedrock has a unified Converse API for this.</t>
  </si>
  <si>
    <t xml:space="preserve">Tool Use</t>
  </si>
  <si>
    <t xml:space="preserve">An LLM's ability to call external functions/APIs as part of its reasoning.</t>
  </si>
  <si>
    <t xml:space="preserve">How agents get current data, perform actions, query databases.</t>
  </si>
  <si>
    <t xml:space="preserve">Vector Store</t>
  </si>
  <si>
    <t xml:space="preserve">Database optimized for similarity search over embeddings.</t>
  </si>
  <si>
    <t xml:space="preserve">S3 Vectors, OpenSearch, Pinecone, Aurora pgvector. Bedrock KBs supports all.</t>
  </si>
  <si>
    <t xml:space="preserve">AgentCore</t>
  </si>
  <si>
    <t xml:space="preserve">AWS's production-grade agent platform. Sits above Bedrock. Framework-agnostic.</t>
  </si>
  <si>
    <t xml:space="preserve">Five modular services. Works with Strands, LangGraph, CrewAI, LlamaIndex, or custom.</t>
  </si>
  <si>
    <t xml:space="preserve">AgentCore Browser Tool</t>
  </si>
  <si>
    <t xml:space="preserve">Agent-controlled web browser with profile persistence.</t>
  </si>
  <si>
    <t xml:space="preserve">Cookies and local storage stored in S3 (per Browser Profiles pricing).</t>
  </si>
  <si>
    <t xml:space="preserve">AgentCore Code Interpreter</t>
  </si>
  <si>
    <t xml:space="preserve">Sandboxed code execution environment for agent-driven analysis.</t>
  </si>
  <si>
    <t xml:space="preserve">Pay only for active resource consumption. I/O wait is free.</t>
  </si>
  <si>
    <t xml:space="preserve">AgentCore Gateway</t>
  </si>
  <si>
    <t xml:space="preserve">Tool/API connector with auth and routing. Supports VPC connectivity.</t>
  </si>
  <si>
    <t xml:space="preserve">Solves the private endpoint problem (relevant to technical call).</t>
  </si>
  <si>
    <t xml:space="preserve">AgentCore Identity</t>
  </si>
  <si>
    <t xml:space="preserve">Inbound auth (SigV4, OAuth, Cognito) + outbound credential management.</t>
  </si>
  <si>
    <t xml:space="preserve">How agents handle authentication on both sides.</t>
  </si>
  <si>
    <t xml:space="preserve">AgentCore Memory</t>
  </si>
  <si>
    <t xml:space="preserve">Short-term (session) + long-term (persistent) memory for agents.</t>
  </si>
  <si>
    <t xml:space="preserve">Built-in strategies or custom configurations. Billed per stored record per day.</t>
  </si>
  <si>
    <t xml:space="preserve">AgentCore Observability</t>
  </si>
  <si>
    <t xml:space="preserve">Full agent traces in CloudWatch — every tool call, every LLM call, every decision.</t>
  </si>
  <si>
    <t xml:space="preserve">Critical for debugging non-deterministic agent behavior.</t>
  </si>
  <si>
    <t xml:space="preserve">AgentCore Policy</t>
  </si>
  <si>
    <t xml:space="preserve">Fine-grained agent authorization at $0.000025 per request.</t>
  </si>
  <si>
    <t xml:space="preserve">Decide what an agent can or cannot do in a given context.</t>
  </si>
  <si>
    <t xml:space="preserve">AgentCore Runtime</t>
  </si>
  <si>
    <t xml:space="preserve">Hosted sandboxed environment for running agents at scale.</t>
  </si>
  <si>
    <t xml:space="preserve">Per-second vCPU + GB-hours. Only billed for active compute, not I/O wait.</t>
  </si>
  <si>
    <t xml:space="preserve">Amazon Bedrock</t>
  </si>
  <si>
    <t xml:space="preserve">Bedrock</t>
  </si>
  <si>
    <t xml:space="preserve">AWS's managed service for foundation models. Multi-provider, IAM-integrated.</t>
  </si>
  <si>
    <t xml:space="preserve">How you access Anthropic, Meta, Mistral, Nova, AI21, Cohere, Stability via one AWS API.</t>
  </si>
  <si>
    <t xml:space="preserve">Batch Inference</t>
  </si>
  <si>
    <t xml:space="preserve">Submit prompts asynchronously for 50% discount vs on-demand.</t>
  </si>
  <si>
    <t xml:space="preserve">Results in 24 hours. Good for bulk processing, evaluation runs.</t>
  </si>
  <si>
    <t xml:space="preserve">Bedrock Data Automation (BDA)</t>
  </si>
  <si>
    <t xml:space="preserve">Parser for multimodal content (PDFs, images) into structured output.</t>
  </si>
  <si>
    <t xml:space="preserve">$0.010 per page standard output. Used as KB parser.</t>
  </si>
  <si>
    <t xml:space="preserve">Bedrock Runtime</t>
  </si>
  <si>
    <t xml:space="preserve">The inference API layer of Bedrock.</t>
  </si>
  <si>
    <t xml:space="preserve">InvokeModel and Converse APIs. The boto3 calls you'll make in Day 2.</t>
  </si>
  <si>
    <t xml:space="preserve">Custom Model Import</t>
  </si>
  <si>
    <t xml:space="preserve">Bring your own model weights into Bedrock.</t>
  </si>
  <si>
    <t xml:space="preserve">Charged only for inference (per model copy minute), not for import itself.</t>
  </si>
  <si>
    <t xml:space="preserve">Evaluations</t>
  </si>
  <si>
    <t xml:space="preserve">Built-in model assessment, automated metrics + optional human-in-the-loop.</t>
  </si>
  <si>
    <t xml:space="preserve">$0.21 per human task. Automated metrics free, you still pay for underlying inference.</t>
  </si>
  <si>
    <t xml:space="preserve">Flows</t>
  </si>
  <si>
    <t xml:space="preserve">Visual workflow orchestrator for chaining FMs, prompts, agents, KBs.</t>
  </si>
  <si>
    <t xml:space="preserve">$0.035 per 1K node transitions. Serverless.</t>
  </si>
  <si>
    <t xml:space="preserve">Guardrails</t>
  </si>
  <si>
    <t xml:space="preserve">Configurable safety layer: content filters, denied topics, PII, grounding checks.</t>
  </si>
  <si>
    <t xml:space="preserve">Priced per text unit (1K characters). $0.15 per filter per 1K text units.</t>
  </si>
  <si>
    <t xml:space="preserve">Intelligent Prompt Routing</t>
  </si>
  <si>
    <t xml:space="preserve">Bedrock feature that routes requests between models in the same family.</t>
  </si>
  <si>
    <t xml:space="preserve">Claims up to 30% cost reduction. Routes easy queries to cheap variant.</t>
  </si>
  <si>
    <t xml:space="preserve">Knowledge Bases</t>
  </si>
  <si>
    <t xml:space="preserve">Bedrock's managed RAG service. Connects vector stores to FMs.</t>
  </si>
  <si>
    <t xml:space="preserve">Supports S3 Vectors, OpenSearch Serverless, Aurora, Pinecone, MongoDB Atlas.</t>
  </si>
  <si>
    <t xml:space="preserve">Marketplace</t>
  </si>
  <si>
    <t xml:space="preserve">100+ additional models from various providers via Bedrock.</t>
  </si>
  <si>
    <t xml:space="preserve">Beyond the core Bedrock model providers.</t>
  </si>
  <si>
    <t xml:space="preserve">Prompt Caching</t>
  </si>
  <si>
    <t xml:space="preserve">Reuse common prompt prefixes to reduce input token cost.</t>
  </si>
  <si>
    <t xml:space="preserve">Up to 90% input cost reduction. Big win for agent system prompts.</t>
  </si>
  <si>
    <t xml:space="preserve">Prompt Management</t>
  </si>
  <si>
    <t xml:space="preserve">Versioned prompt library with deployment controls.</t>
  </si>
  <si>
    <t xml:space="preserve">Treat prompts like code. Roll back broken changes.</t>
  </si>
  <si>
    <t xml:space="preserve">Provisioned Throughput</t>
  </si>
  <si>
    <t xml:space="preserve">Reserved capacity for predictable high-volume workloads.</t>
  </si>
  <si>
    <t xml:space="preserve">Hourly billing. 1-month or 6-month commitments.</t>
  </si>
  <si>
    <t xml:space="preserve">S3 Vectors</t>
  </si>
  <si>
    <t xml:space="preserve">AWS's vector store launched Dec 2025. Up to 90% cheaper than OpenSearch Serverless.</t>
  </si>
  <si>
    <t xml:space="preserve">New default for Knowledge Bases unless you have OpenSearch dependency.</t>
  </si>
  <si>
    <t xml:space="preserve">CrewAI</t>
  </si>
  <si>
    <t xml:space="preserve">Frameworks</t>
  </si>
  <si>
    <t xml:space="preserve">Multi-agent framework. Define roles, tasks, collaboration patterns.</t>
  </si>
  <si>
    <t xml:space="preserve">Popular for team-of-agents architectures.</t>
  </si>
  <si>
    <t xml:space="preserve">LangGraph</t>
  </si>
  <si>
    <t xml:space="preserve">LangChain's stateful agent orchestration framework.</t>
  </si>
  <si>
    <t xml:space="preserve">Popular for complex agent workflows. Works with AgentCore.</t>
  </si>
  <si>
    <t xml:space="preserve">LiteLLM</t>
  </si>
  <si>
    <t xml:space="preserve">Unified API across LLM providers. Like Bedrock but client-side.</t>
  </si>
  <si>
    <t xml:space="preserve">Useful when you need to switch between Bedrock and direct provider APIs.</t>
  </si>
  <si>
    <t xml:space="preserve">LlamaIndex</t>
  </si>
  <si>
    <t xml:space="preserve">Framework focused on RAG and data connectors.</t>
  </si>
  <si>
    <t xml:space="preserve">Strong for document-heavy agent applications.</t>
  </si>
  <si>
    <t xml:space="preserve">MLflow</t>
  </si>
  <si>
    <t xml:space="preserve">Open-source ML lifecycle platform. Used for LLM evaluation and tracking.</t>
  </si>
  <si>
    <t xml:space="preserve">Common pairing with LiteLLM for observability.</t>
  </si>
  <si>
    <t xml:space="preserve">Strands</t>
  </si>
  <si>
    <t xml:space="preserve">AWS's lightweight agent framework. Works natively with AgentCore.</t>
  </si>
  <si>
    <t xml:space="preserve">Will be covered in detail in Day 2-3.</t>
  </si>
  <si>
    <t xml:space="preserve">Greedy Decoding</t>
  </si>
  <si>
    <t xml:space="preserve">Inference</t>
  </si>
  <si>
    <t xml:space="preserve">Always pick the highest-probability next token. What temperature=0 does.</t>
  </si>
  <si>
    <t xml:space="preserve">Closer to deterministic but not bit-exact (ties exist).</t>
  </si>
  <si>
    <t xml:space="preserve">max_tokens</t>
  </si>
  <si>
    <t xml:space="preserve">Hard cap on output length per API call.</t>
  </si>
  <si>
    <t xml:space="preserve">Always set it. Runaway generations can cost $10 on a single call.</t>
  </si>
  <si>
    <t xml:space="preserve">Seed</t>
  </si>
  <si>
    <t xml:space="preserve">Reproducibility hint (if provider supports it). Tries to get same output for same input.</t>
  </si>
  <si>
    <t xml:space="preserve">Useful for testing and audits. Not guaranteed bit-exact even with seed.</t>
  </si>
  <si>
    <t xml:space="preserve">stop_sequences</t>
  </si>
  <si>
    <t xml:space="preserve">Strings that halt generation when produced.</t>
  </si>
  <si>
    <t xml:space="preserve">Used for structured output discipline and agent boundary markers.</t>
  </si>
  <si>
    <t xml:space="preserve">Temperature</t>
  </si>
  <si>
    <t xml:space="preserve">Knob that controls randomness in token sampling. 0 = greedy, 2 = wild.</t>
  </si>
  <si>
    <t xml:space="preserve">Use 0 for extraction/classification. Higher for creative tasks. Not bit-exact even at 0.</t>
  </si>
  <si>
    <t xml:space="preserve">Top-k</t>
  </si>
  <si>
    <t xml:space="preserve">Sample only from the top K most likely tokens.</t>
  </si>
  <si>
    <t xml:space="preserve">Tighter output control. Less common in production than top-p.</t>
  </si>
  <si>
    <t xml:space="preserve">Top-p (Nucleus Sampling)</t>
  </si>
  <si>
    <t xml:space="preserve">Sample from the smallest set of tokens whose cumulative probability ≤ p.</t>
  </si>
  <si>
    <t xml:space="preserve">Usually leave at 0.9-1.0. Used to constrain output diversity.</t>
  </si>
  <si>
    <t xml:space="preserve">Autoregressive Generation</t>
  </si>
  <si>
    <t xml:space="preserve">LLM Fundamentals</t>
  </si>
  <si>
    <t xml:space="preserve">Generating one token at a time, each conditional on all previous tokens.</t>
  </si>
  <si>
    <t xml:space="preserve">Why streaming works. Why generation is sequential and not easily parallelized.</t>
  </si>
  <si>
    <t xml:space="preserve">Context Window</t>
  </si>
  <si>
    <t xml:space="preserve">Maximum tokens (input + output) an LLM can process in a single call.</t>
  </si>
  <si>
    <t xml:space="preserve">200K default for most flagships, 1M+ for some. Effective recall is often 30-50% of advertised.</t>
  </si>
  <si>
    <t xml:space="preserve">Embedding</t>
  </si>
  <si>
    <t xml:space="preserve">A high-dimensional vector representation of a token or piece of text.</t>
  </si>
  <si>
    <t xml:space="preserve">How models represent meaning numerically. Used in retrieval and similarity search.</t>
  </si>
  <si>
    <t xml:space="preserve">Lost in the Middle</t>
  </si>
  <si>
    <t xml:space="preserve">Phenomenon where LLMs pay less attention to content in the middle of context.</t>
  </si>
  <si>
    <t xml:space="preserve">Why huge context windows don't eliminate the need for retrieval and chunking.</t>
  </si>
  <si>
    <t xml:space="preserve">Parameter</t>
  </si>
  <si>
    <t xml:space="preserve">A learned weight in the model. "7B" = 7 billion weights total.</t>
  </si>
  <si>
    <t xml:space="preserve">More parameters ≠ smarter. Data quality and training matter more.</t>
  </si>
  <si>
    <t xml:space="preserve">Self-Attention</t>
  </si>
  <si>
    <t xml:space="preserve">Mechanism that lets each token attend to every other token in the input.</t>
  </si>
  <si>
    <t xml:space="preserve">Why transformers handle context so well. Also why they're computationally expensive.</t>
  </si>
  <si>
    <t xml:space="preserve">Token</t>
  </si>
  <si>
    <t xml:space="preserve">Smallest unit of text an LLM processes. ~4 characters of English, or 0.75 of a word.</t>
  </si>
  <si>
    <t xml:space="preserve">The atomic billing, latency, and context unit. Everything is measured in tokens.</t>
  </si>
  <si>
    <t xml:space="preserve">Tokenizer</t>
  </si>
  <si>
    <t xml:space="preserve">The component that splits raw text into tokens and maps each to an integer ID.</t>
  </si>
  <si>
    <t xml:space="preserve">Quality varies by language. English-trained tokenizers waste tokens on non-Latin scripts.</t>
  </si>
  <si>
    <t xml:space="preserve">Transformer</t>
  </si>
  <si>
    <t xml:space="preserve">The neural network architecture underlying every modern LLM. Built on self-attention.</t>
  </si>
  <si>
    <t xml:space="preserve">Same skeleton across GPT, Claude, Gemini, Llama, etc. Differences are in details.</t>
  </si>
  <si>
    <t xml:space="preserve">Hallucination</t>
  </si>
  <si>
    <t xml:space="preserve">Limitations</t>
  </si>
  <si>
    <t xml:space="preserve">Confident, plausible, but false output.</t>
  </si>
  <si>
    <t xml:space="preserve">Structural to autoregressive generation. Addressed via RAG, guardrails, evaluations.</t>
  </si>
  <si>
    <t xml:space="preserve">Knowledge Cutoff</t>
  </si>
  <si>
    <t xml:space="preserve">The date after which the model has no training data.</t>
  </si>
  <si>
    <t xml:space="preserve">Varies by model. Months to a year+ behind current date.</t>
  </si>
  <si>
    <t xml:space="preserve">Stale Knowledge</t>
  </si>
  <si>
    <t xml:space="preserve">Model's knowledge frozen at training cutoff.</t>
  </si>
  <si>
    <t xml:space="preserve">Addressed via tool use (live search, DB queries).</t>
  </si>
  <si>
    <t xml:space="preserve">Closed API</t>
  </si>
  <si>
    <t xml:space="preserve">Model Types</t>
  </si>
  <si>
    <t xml:space="preserve">Model accessible only through provider's API. Weights not shared.</t>
  </si>
  <si>
    <t xml:space="preserve">GPT, Claude, Gemini. Higher capability ceiling, no infra burden, opaque cost at scale.</t>
  </si>
  <si>
    <t xml:space="preserve">Foundation Model (FM)</t>
  </si>
  <si>
    <t xml:space="preserve">Large, pre-trained model that can be adapted to many downstream tasks.</t>
  </si>
  <si>
    <t xml:space="preserve">Umbrella term. LLMs are foundation models for text.</t>
  </si>
  <si>
    <t xml:space="preserve">Generative AI (GenAI)</t>
  </si>
  <si>
    <t xml:space="preserve">Any model that generates new content (text, image, audio, video).</t>
  </si>
  <si>
    <t xml:space="preserve">Broadest umbrella term. GenAI ⊃ FM ⊃ LLM ⊃ Reasoning LLM.</t>
  </si>
  <si>
    <t xml:space="preserve">LLM</t>
  </si>
  <si>
    <t xml:space="preserve">Large Language Model. A foundation model specifically for text.</t>
  </si>
  <si>
    <t xml:space="preserve">What everyone means when they say "GPT" or "Claude."</t>
  </si>
  <si>
    <t xml:space="preserve">Mixture of Experts (MoE)</t>
  </si>
  <si>
    <t xml:space="preserve">Architecture where only a subset of parameters activate per token.</t>
  </si>
  <si>
    <t xml:space="preserve">Llama 4 Scout: 109B total, 17B active. DeepSeek V4 Pro: 1.6T total, 49B active. Cheap to run despite size.</t>
  </si>
  <si>
    <t xml:space="preserve">Open Weights</t>
  </si>
  <si>
    <t xml:space="preserve">Model whose trained weights are publicly downloadable. Not necessarily open source.</t>
  </si>
  <si>
    <t xml:space="preserve">Enables self-hosting, fine-tuning, data sovereignty. Llama, Qwen, DeepSeek, Mistral, GLM.</t>
  </si>
  <si>
    <t xml:space="preserve">Reasoning LLM</t>
  </si>
  <si>
    <t xml:space="preserve">An LLM with built-in chain-of-thought (extended thinking) before producing output.</t>
  </si>
  <si>
    <t xml:space="preserve">Spends more tokens on internal reasoning. Better at hard problems, more expensive.</t>
  </si>
  <si>
    <t xml:space="preserve">Effort Level</t>
  </si>
  <si>
    <t xml:space="preserve">Model Variants</t>
  </si>
  <si>
    <t xml:space="preserve">Toggle for how hard the model tries (low/medium/high/max).</t>
  </si>
  <si>
    <t xml:space="preserve">Trade-off between accuracy and cost/latency.</t>
  </si>
  <si>
    <t xml:space="preserve">Extended Thinking</t>
  </si>
  <si>
    <t xml:space="preserve">Mode that lets a reasoning LLM spend more tokens on internal reasoning.</t>
  </si>
  <si>
    <t xml:space="preserve">Improves accuracy on hard problems. Increases cost and latency.</t>
  </si>
  <si>
    <t xml:space="preserve">Haiku-class</t>
  </si>
  <si>
    <t xml:space="preserve">Small, fast, cheap variant.</t>
  </si>
  <si>
    <t xml:space="preserve">Classification, routing, high-volume queries.</t>
  </si>
  <si>
    <t xml:space="preserve">Multimodal</t>
  </si>
  <si>
    <t xml:space="preserve">Model that handles text + images (and sometimes audio/video).</t>
  </si>
  <si>
    <t xml:space="preserve">Gemini 3 Pro is natively multimodal. Most flagships now support vision.</t>
  </si>
  <si>
    <t xml:space="preserve">Opus-class</t>
  </si>
  <si>
    <t xml:space="preserve">The largest, most capable variant in a family. Slowest, most expensive.</t>
  </si>
  <si>
    <t xml:space="preserve">For deep reasoning, hard problems, low-volume high-stakes work.</t>
  </si>
  <si>
    <t xml:space="preserve">Sonnet-class</t>
  </si>
  <si>
    <t xml:space="preserve">Mid-tier variant. Balanced capability and cost.</t>
  </si>
  <si>
    <t xml:space="preserve">Production default for most enterprise tasks.</t>
  </si>
  <si>
    <t xml:space="preserve">Constitutional AI</t>
  </si>
  <si>
    <t xml:space="preserve">Training</t>
  </si>
  <si>
    <t xml:space="preserve">Anthropic's alignment method using a set of principles instead of human preferences for some steps.</t>
  </si>
  <si>
    <t xml:space="preserve">Used in Claude. Reduces need for human labelers on certain refusal patterns.</t>
  </si>
  <si>
    <t xml:space="preserve">Continued Pre-training</t>
  </si>
  <si>
    <t xml:space="preserve">Continuing the original pre-training objective on new (often unlabeled) data.</t>
  </si>
  <si>
    <t xml:space="preserve">Used to teach a model new domains or languages without task-specific labels.</t>
  </si>
  <si>
    <t xml:space="preserve">Fine-tuning</t>
  </si>
  <si>
    <t xml:space="preserve">Continuing training on a smaller, domain-specific dataset.</t>
  </si>
  <si>
    <t xml:space="preserve">Adapts a base model to your domain. Bedrock supports it on select models.</t>
  </si>
  <si>
    <t xml:space="preserve">RLHF</t>
  </si>
  <si>
    <t xml:space="preserve">Reinforcement Learning from Human Feedback. Post-training step to align model behavior.</t>
  </si>
  <si>
    <t xml:space="preserve">How models learn to be helpful and avoid harmful outputs.</t>
  </si>
  <si>
    <t xml:space="preserve">Tonight's Pre-work</t>
  </si>
  <si>
    <t xml:space="preserve">Complete every item before Day 2 morning. AWS access issues tomorrow = you're a spectator.</t>
  </si>
  <si>
    <t xml:space="preserve">DONE</t>
  </si>
  <si>
    <t xml:space="preserve">#</t>
  </si>
  <si>
    <t xml:space="preserve">TASK</t>
  </si>
  <si>
    <t xml:space="preserve">HOW TO VERIFY</t>
  </si>
  <si>
    <t xml:space="preserve">IF IT FAILS</t>
  </si>
  <si>
    <t xml:space="preserve">☐</t>
  </si>
  <si>
    <t xml:space="preserve">AWS Console Access</t>
  </si>
  <si>
    <t xml:space="preserve">Log in to your AWS account in the browser. Confirm you can see the AWS console homepage.</t>
  </si>
  <si>
    <t xml:space="preserve">Contact your AWS admin. Without console access, you cannot proceed.</t>
  </si>
  <si>
    <t xml:space="preserve">AWS CLI configured</t>
  </si>
  <si>
    <t xml:space="preserve">Run: aws sts get-caller-identity  →  should return your account ID, user, and role.</t>
  </si>
  <si>
    <t xml:space="preserve">Install AWS CLI v2, run: aws configure. Use access keys from your profile.</t>
  </si>
  <si>
    <t xml:space="preserve">Bedrock console reachable</t>
  </si>
  <si>
    <t xml:space="preserve">Navigate to https://us-west-2.console.aws.amazon.com/bedrock/  →  should load without permission errors.</t>
  </si>
  <si>
    <t xml:space="preserve">Your IAM role needs bedrock:* read permissions. Ask your admin for AmazonBedrockReadOnly at minimum.</t>
  </si>
  <si>
    <t xml:space="preserve">Bedrock model access — Anthropic</t>
  </si>
  <si>
    <t xml:space="preserve">Bedrock console &gt; Model access &gt; confirm Anthropic models show 'Access granted'. Request if not.</t>
  </si>
  <si>
    <t xml:space="preserve">Request access in console. Anthropic models approve within minutes for most accounts.</t>
  </si>
  <si>
    <t xml:space="preserve">Bedrock model access — Meta</t>
  </si>
  <si>
    <t xml:space="preserve">Same screen, confirm Meta (Llama 3.3, Llama 4) shows 'Access granted'.</t>
  </si>
  <si>
    <t xml:space="preserve">Request access. Meta typically approves within an hour.</t>
  </si>
  <si>
    <t xml:space="preserve">Bedrock model access — Amazon Nova</t>
  </si>
  <si>
    <t xml:space="preserve">Same screen, confirm Amazon Nova (Micro, Lite, Pro) shows 'Access granted'.</t>
  </si>
  <si>
    <t xml:space="preserve">Nova is usually granted automatically. If not, request in console.</t>
  </si>
  <si>
    <t xml:space="preserve">Python 3.10+ installed</t>
  </si>
  <si>
    <t xml:space="preserve">Run: python --version  →  should show 3.10 or higher.</t>
  </si>
  <si>
    <t xml:space="preserve">Install Python 3.10+ from python.org. Pyenv or asdf also fine.</t>
  </si>
  <si>
    <t xml:space="preserve">boto3 installed</t>
  </si>
  <si>
    <t xml:space="preserve">Run: pip install boto3  then  python -c "import boto3; print(boto3.__version__)"  →  should show 1.35+</t>
  </si>
  <si>
    <t xml:space="preserve">Use a virtualenv if pip install fails: python -m venv .venv &amp;&amp; source .venv/bin/activate</t>
  </si>
  <si>
    <t xml:space="preserve">Hello-world Bedrock call</t>
  </si>
  <si>
    <t xml:space="preserve">Run the sample script in cell A20 below. Should return a short text response from Claude or Nova.</t>
  </si>
  <si>
    <t xml:space="preserve">Common issues: wrong region, no model access, expired credentials. Check error message carefully.</t>
  </si>
  <si>
    <t xml:space="preserve">VS Code or your IDE ready</t>
  </si>
  <si>
    <t xml:space="preserve">Have your preferred editor open with the project folder. Day 2 will involve writing code.</t>
  </si>
  <si>
    <t xml:space="preserve">Any editor works. VS Code recommended for Day 2 due to inline AWS extensions.</t>
  </si>
  <si>
    <t xml:space="preserve">Notebook environment (optional)</t>
  </si>
  <si>
    <t xml:space="preserve">Jupyter or VS Code notebooks. Some Day 2 exercises use ipynb format.</t>
  </si>
  <si>
    <t xml:space="preserve">pip install jupyterlab or use VS Code's built-in notebook support.</t>
  </si>
  <si>
    <t xml:space="preserve">Glossary tab skimmed</t>
  </si>
  <si>
    <t xml:space="preserve">Spend 10 min skimming Glossary tab. Note any unfamiliar terms.</t>
  </si>
  <si>
    <t xml:space="preserve">Flag them in the open floor tomorrow. We'll cover gaps.</t>
  </si>
  <si>
    <t xml:space="preserve">Hello-world Bedrock call (Python)</t>
  </si>
  <si>
    <t xml:space="preserve">import boto3
import json
# Use Converse API - works across all Bedrock models with the same interface
client = boto3.client("bedrock-runtime", region_name="us-west-2")
response = client.converse(
    modelId="amazon.nova-micro-v1:0",  # Try also: anthropic.claude-haiku-4-5-20251001-v1:0
    messages=[
        {
            "role": "user",
            "content": [{"text": "In one sentence, what is a foundation model?"}]
        }
    ],
    inferenceConfig={"maxTokens": 200, "temperature": 0.2}
)
print(response["output"]["message"]["content"][0]["text"])
</t>
  </si>
  <si>
    <t xml:space="preserve">Day 1.5 Self-Assessment</t>
  </si>
  <si>
    <t xml:space="preserve">Rate your confidence 1-5 on each concept. &lt;3 means we need to revisit it tomorrow.</t>
  </si>
  <si>
    <t xml:space="preserve">1 = no clue · 2 = vague idea · 3 = could explain to a peer · 4 = could explain to a non-technical PM · 5 = could lead a session on it</t>
  </si>
  <si>
    <t xml:space="preserve">TOPIC</t>
  </si>
  <si>
    <t xml:space="preserve">RATE 1-5</t>
  </si>
  <si>
    <t xml:space="preserve">WHAT TO REVISIT IF &lt;3</t>
  </si>
  <si>
    <t xml:space="preserve">I can explain what a token is and why it matters for cost and latency</t>
  </si>
  <si>
    <t xml:space="preserve">Slide 15</t>
  </si>
  <si>
    <t xml:space="preserve">I understand the difference between parameters and active parameters (MoE)</t>
  </si>
  <si>
    <t xml:space="preserve">Slide 6 reveal, glossary: Mixture of Experts</t>
  </si>
  <si>
    <t xml:space="preserve">I can name the four components inside any LLM</t>
  </si>
  <si>
    <t xml:space="preserve">Slide 14</t>
  </si>
  <si>
    <t xml:space="preserve">I know what temperature, max_tokens, and seed do</t>
  </si>
  <si>
    <t xml:space="preserve">Slide 16</t>
  </si>
  <si>
    <t xml:space="preserve">I can explain why LLMs hallucinate, in one sentence</t>
  </si>
  <si>
    <t xml:space="preserve">Slide 17 + Slide 18</t>
  </si>
  <si>
    <t xml:space="preserve">I can list the five real limitations of LLMs and what each one drives in our stack</t>
  </si>
  <si>
    <t xml:space="preserve">Slide 18</t>
  </si>
  <si>
    <t xml:space="preserve">I understand the difference between GenAI, FM, LLM, and Reasoning LLM</t>
  </si>
  <si>
    <t xml:space="preserve">Slide 13</t>
  </si>
  <si>
    <t xml:space="preserve">I can name the current flagships of GPT, Claude, Gemini, Llama, and at least one Chinese family</t>
  </si>
  <si>
    <t xml:space="preserve">Slide 21</t>
  </si>
  <si>
    <t xml:space="preserve">I understand Opus vs Sonnet vs Haiku class and the orthogonal axes</t>
  </si>
  <si>
    <t xml:space="preserve">Slide 22</t>
  </si>
  <si>
    <t xml:space="preserve">I can explain the trade-off between open-weight and closed-API models</t>
  </si>
  <si>
    <t xml:space="preserve">Slide 23</t>
  </si>
  <si>
    <t xml:space="preserve">I can answer "why Bedrock instead of calling OpenAI directly"</t>
  </si>
  <si>
    <t xml:space="preserve">Slides 24-25</t>
  </si>
  <si>
    <t xml:space="preserve">I can list at least 5 of Bedrock's 8 core capabilities</t>
  </si>
  <si>
    <t xml:space="preserve">Slide 26</t>
  </si>
  <si>
    <t xml:space="preserve">I understand the four drivers of Bedrock cost</t>
  </si>
  <si>
    <t xml:space="preserve">Slide 27</t>
  </si>
  <si>
    <t xml:space="preserve">I can draw the Bedrock stack from FMs to my application</t>
  </si>
  <si>
    <t xml:space="preserve">Slide 28</t>
  </si>
  <si>
    <t xml:space="preserve">I can name the 5 AgentCore modules and what each does</t>
  </si>
  <si>
    <t xml:space="preserve">Slide 29</t>
  </si>
  <si>
    <t xml:space="preserve">I understand what AgentCore replaces (DIY vs managed)</t>
  </si>
  <si>
    <t xml:space="preserve">Slide 30</t>
  </si>
  <si>
    <t xml:space="preserve">I can draw the full agent picture (Day 1 + Day 1.5 combined)</t>
  </si>
  <si>
    <t xml:space="preserve">Slide 31</t>
  </si>
  <si>
    <t xml:space="preserve">I'm ready for Day 2 hands-on</t>
  </si>
  <si>
    <t xml:space="preserve">All slides + pre-work tab</t>
  </si>
  <si>
    <t xml:space="preserve">Average confidence</t>
  </si>
  <si>
    <t xml:space="preserve">Topics below confidence threshold (&lt;3)</t>
  </si>
  <si>
    <t xml:space="preserve">Bedrock Pricing Calculator</t>
  </si>
  <si>
    <t xml:space="preserve">Compare model costs at scale. All prices May 2026 us-east-1 on-demand. Verify on aws.amazon.com/bedrock/pricing before committing.</t>
  </si>
  <si>
    <t xml:space="preserve">Model price table (USD per million tokens)</t>
  </si>
  <si>
    <t xml:space="preserve">MODEL</t>
  </si>
  <si>
    <t xml:space="preserve">FAMILY</t>
  </si>
  <si>
    <t xml:space="preserve">TIER</t>
  </si>
  <si>
    <t xml:space="preserve">INPUT $/M</t>
  </si>
  <si>
    <t xml:space="preserve">OUTPUT $/M</t>
  </si>
  <si>
    <t xml:space="preserve">BLENDED 3:1 $/M</t>
  </si>
  <si>
    <t xml:space="preserve">BATCH (50% off)</t>
  </si>
  <si>
    <t xml:space="preserve">Amazon Nova Micro</t>
  </si>
  <si>
    <t xml:space="preserve">Nova</t>
  </si>
  <si>
    <t xml:space="preserve">Amazon Nova Lite</t>
  </si>
  <si>
    <t xml:space="preserve">Amazon Nova Pro</t>
  </si>
  <si>
    <t xml:space="preserve">Claude Haiku 4.5</t>
  </si>
  <si>
    <t xml:space="preserve">Claude</t>
  </si>
  <si>
    <t xml:space="preserve">Claude Sonnet 4.6</t>
  </si>
  <si>
    <t xml:space="preserve">Claude Opus 4.7</t>
  </si>
  <si>
    <t xml:space="preserve">Llama 3.3 70B</t>
  </si>
  <si>
    <t xml:space="preserve">Llama</t>
  </si>
  <si>
    <t xml:space="preserve">Llama 4 Scout (17B active)</t>
  </si>
  <si>
    <t xml:space="preserve">Llama 4 Maverick</t>
  </si>
  <si>
    <t xml:space="preserve">Mistral Large 2</t>
  </si>
  <si>
    <t xml:space="preserve">Mistral</t>
  </si>
  <si>
    <t xml:space="preserve">Mistral Small 3.1</t>
  </si>
  <si>
    <t xml:space="preserve">DeepSeek V4 Pro</t>
  </si>
  <si>
    <t xml:space="preserve">DeepSeek</t>
  </si>
  <si>
    <t xml:space="preserve">Cohere Command R+</t>
  </si>
  <si>
    <t xml:space="preserve">Cohere</t>
  </si>
  <si>
    <t xml:space="preserve">AI21 Jamba 1.5 Large</t>
  </si>
  <si>
    <t xml:space="preserve">AI21</t>
  </si>
  <si>
    <t xml:space="preserve">Cost projector</t>
  </si>
  <si>
    <t xml:space="preserve">Avg input tokens per request</t>
  </si>
  <si>
    <t xml:space="preserve">Avg output tokens per request</t>
  </si>
  <si>
    <t xml:space="preserve">Requests per day</t>
  </si>
  <si>
    <t xml:space="preserve">Working days per month</t>
  </si>
  <si>
    <t xml:space="preserve">Agent token amplification factor (1 for single-shot, 4-8 for agents)</t>
  </si>
  <si>
    <t xml:space="preserve">Monthly cost projection by model</t>
  </si>
  <si>
    <t xml:space="preserve">INPUT TOKENS/MONTH</t>
  </si>
  <si>
    <t xml:space="preserve">OUTPUT TOKENS/MONTH</t>
  </si>
  <si>
    <t xml:space="preserve">MONTHLY COST</t>
  </si>
  <si>
    <t xml:space="preserve">VS NOVA MICRO</t>
  </si>
  <si>
    <t xml:space="preserve">Cost ratio (Opus 4.7 / Nova Micro) at these volumes</t>
  </si>
  <si>
    <t xml:space="preserve">Monthly savings: Sonnet 4.6 → Nova Pro for same volume</t>
  </si>
  <si>
    <t xml:space="preserve">Cheapest model monthly cost</t>
  </si>
  <si>
    <t xml:space="preserve">Most expensive model monthly cost</t>
  </si>
  <si>
    <t xml:space="preserve">NOTE: All prices May 2026 us-east-1 on-demand. Pricing changes frequently — verify on aws.amazon.com/bedrock/pricing before committing to a model choice. Llama 3.3 70B input/output rounded for consistency. Blended cost assumes 3:1 input:output ratio typical of conversational workloads.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</si>
</sst>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General"/>
    <numFmt numFmtId="167" formatCode="\$#,##0.000"/>
    <numFmt numFmtId="168" formatCode="#,##0"/>
    <numFmt numFmtId="169" formatCode="\$#,##0"/>
    <numFmt numFmtId="170" formatCode="0.0\×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E"/>
      <name val="Georgia"/>
      <family val="0"/>
      <charset val="1"/>
    </font>
    <font>
      <i val="true"/>
      <sz val="11"/>
      <color rgb="FF5D6D7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.5"/>
      <color rgb="FF1B2A4E"/>
      <name val="Calibri"/>
      <family val="0"/>
      <charset val="1"/>
    </font>
    <font>
      <i val="true"/>
      <sz val="10.5"/>
      <color rgb="FF5D6D7E"/>
      <name val="Calibri"/>
      <family val="0"/>
      <charset val="1"/>
    </font>
    <font>
      <sz val="10.5"/>
      <color rgb="FF000000"/>
      <name val="Calibri"/>
      <family val="0"/>
      <charset val="1"/>
    </font>
    <font>
      <i val="true"/>
      <sz val="10.5"/>
      <color rgb="FF2C3E50"/>
      <name val="Calibri"/>
      <family val="0"/>
      <charset val="1"/>
    </font>
    <font>
      <i val="true"/>
      <sz val="11"/>
      <color rgb="FFB84A3E"/>
      <name val="Calibri"/>
      <family val="0"/>
      <charset val="1"/>
    </font>
    <font>
      <sz val="16"/>
      <color rgb="FF1B2A4E"/>
      <name val="Calibri"/>
      <family val="0"/>
      <charset val="1"/>
    </font>
    <font>
      <b val="true"/>
      <sz val="10.5"/>
      <color rgb="FF2E5C8A"/>
      <name val="Calibri"/>
      <family val="0"/>
      <charset val="1"/>
    </font>
    <font>
      <i val="true"/>
      <sz val="10.5"/>
      <color rgb="FFB84A3E"/>
      <name val="Calibri"/>
      <family val="0"/>
      <charset val="1"/>
    </font>
    <font>
      <b val="true"/>
      <sz val="14"/>
      <color rgb="FF1B2A4E"/>
      <name val="Georgia"/>
      <family val="0"/>
      <charset val="1"/>
    </font>
    <font>
      <sz val="10"/>
      <color rgb="FF2C3E50"/>
      <name val="Consolas"/>
      <family val="0"/>
      <charset val="1"/>
    </font>
    <font>
      <i val="true"/>
      <sz val="10"/>
      <color rgb="FF2E5C8A"/>
      <name val="Calibri"/>
      <family val="0"/>
      <charset val="1"/>
    </font>
    <font>
      <b val="true"/>
      <sz val="12"/>
      <color rgb="FF1B2A4E"/>
      <name val="Calibri"/>
      <family val="0"/>
      <charset val="1"/>
    </font>
    <font>
      <b val="true"/>
      <sz val="12"/>
      <color rgb="FF2E5C8A"/>
      <name val="Calibri"/>
      <family val="0"/>
      <charset val="1"/>
    </font>
    <font>
      <b val="true"/>
      <sz val="12"/>
      <color rgb="FFB84A3E"/>
      <name val="Calibri"/>
      <family val="0"/>
      <charset val="1"/>
    </font>
    <font>
      <i val="true"/>
      <sz val="10"/>
      <color rgb="FF5D6D7E"/>
      <name val="Calibri"/>
      <family val="0"/>
      <charset val="1"/>
    </font>
    <font>
      <i val="true"/>
      <sz val="10.5"/>
      <color rgb="FF3F7D58"/>
      <name val="Calibri"/>
      <family val="0"/>
      <charset val="1"/>
    </font>
    <font>
      <b val="true"/>
      <sz val="11"/>
      <color rgb="FF1B2A4E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1"/>
      <color rgb="FF2E5C8A"/>
      <name val="Calibri"/>
      <family val="0"/>
      <charset val="1"/>
    </font>
    <font>
      <i val="true"/>
      <sz val="9"/>
      <color rgb="FF5D6D7E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E"/>
        <bgColor rgb="FF2C3E50"/>
      </patternFill>
    </fill>
    <fill>
      <patternFill patternType="solid">
        <fgColor rgb="FFE8ECF3"/>
        <bgColor rgb="FFF7F9FB"/>
      </patternFill>
    </fill>
    <fill>
      <patternFill patternType="solid">
        <fgColor rgb="FFF7F9FB"/>
        <bgColor rgb="FFFFFFFF"/>
      </patternFill>
    </fill>
    <fill>
      <patternFill patternType="solid">
        <fgColor rgb="FFFFFFCC"/>
        <bgColor rgb="FFF7F9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2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ADBD8"/>
        </patternFill>
      </fill>
    </dxf>
    <dxf>
      <fill>
        <patternFill>
          <bgColor rgb="FFD5F0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84A3E"/>
      <rgbColor rgb="FFFFFFCC"/>
      <rgbColor rgb="FFE8ECF3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B"/>
      <rgbColor rgb="FFD5F0D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1B2A4E"/>
      <rgbColor rgb="FF3F7D58"/>
      <rgbColor rgb="FF003300"/>
      <rgbColor rgb="FF333300"/>
      <rgbColor rgb="FF993300"/>
      <rgbColor rgb="FF993366"/>
      <rgbColor rgb="FF2E5C8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65"/>
    <col collapsed="false" customWidth="true" hidden="false" outlineLevel="0" max="4" min="4" style="0" width="55"/>
  </cols>
  <sheetData>
    <row r="1" customFormat="false" ht="25.5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6" hidden="false" customHeight="true" outlineLevel="0" collapsed="false">
      <c r="A5" s="4" t="s">
        <v>6</v>
      </c>
      <c r="B5" s="5" t="s">
        <v>7</v>
      </c>
      <c r="C5" s="6" t="s">
        <v>8</v>
      </c>
      <c r="D5" s="7" t="s">
        <v>9</v>
      </c>
    </row>
    <row r="6" customFormat="false" ht="36" hidden="false" customHeight="true" outlineLevel="0" collapsed="false">
      <c r="A6" s="4" t="s">
        <v>10</v>
      </c>
      <c r="B6" s="5" t="s">
        <v>7</v>
      </c>
      <c r="C6" s="6" t="s">
        <v>11</v>
      </c>
      <c r="D6" s="7" t="s">
        <v>12</v>
      </c>
    </row>
    <row r="7" customFormat="false" ht="36" hidden="false" customHeight="true" outlineLevel="0" collapsed="false">
      <c r="A7" s="4" t="s">
        <v>13</v>
      </c>
      <c r="B7" s="5" t="s">
        <v>7</v>
      </c>
      <c r="C7" s="6" t="s">
        <v>14</v>
      </c>
      <c r="D7" s="7" t="s">
        <v>15</v>
      </c>
    </row>
    <row r="8" customFormat="false" ht="36" hidden="false" customHeight="true" outlineLevel="0" collapsed="false">
      <c r="A8" s="4" t="s">
        <v>16</v>
      </c>
      <c r="B8" s="5" t="s">
        <v>7</v>
      </c>
      <c r="C8" s="6" t="s">
        <v>17</v>
      </c>
      <c r="D8" s="7" t="s">
        <v>18</v>
      </c>
    </row>
    <row r="9" customFormat="false" ht="36" hidden="false" customHeight="true" outlineLevel="0" collapsed="false">
      <c r="A9" s="4" t="s">
        <v>19</v>
      </c>
      <c r="B9" s="5" t="s">
        <v>7</v>
      </c>
      <c r="C9" s="6" t="s">
        <v>20</v>
      </c>
      <c r="D9" s="7" t="s">
        <v>21</v>
      </c>
    </row>
    <row r="10" customFormat="false" ht="36" hidden="false" customHeight="true" outlineLevel="0" collapsed="false">
      <c r="A10" s="4" t="s">
        <v>22</v>
      </c>
      <c r="B10" s="5" t="s">
        <v>7</v>
      </c>
      <c r="C10" s="6" t="s">
        <v>23</v>
      </c>
      <c r="D10" s="7" t="s">
        <v>24</v>
      </c>
    </row>
    <row r="11" customFormat="false" ht="36" hidden="false" customHeight="true" outlineLevel="0" collapsed="false">
      <c r="A11" s="4" t="s">
        <v>25</v>
      </c>
      <c r="B11" s="5" t="s">
        <v>7</v>
      </c>
      <c r="C11" s="6" t="s">
        <v>26</v>
      </c>
      <c r="D11" s="7" t="s">
        <v>27</v>
      </c>
    </row>
    <row r="12" customFormat="false" ht="36" hidden="false" customHeight="true" outlineLevel="0" collapsed="false">
      <c r="A12" s="4" t="s">
        <v>28</v>
      </c>
      <c r="B12" s="5" t="s">
        <v>7</v>
      </c>
      <c r="C12" s="6" t="s">
        <v>29</v>
      </c>
      <c r="D12" s="7" t="s">
        <v>30</v>
      </c>
    </row>
    <row r="13" customFormat="false" ht="36" hidden="false" customHeight="true" outlineLevel="0" collapsed="false">
      <c r="A13" s="8" t="s">
        <v>31</v>
      </c>
      <c r="B13" s="9" t="s">
        <v>32</v>
      </c>
      <c r="C13" s="10" t="s">
        <v>33</v>
      </c>
      <c r="D13" s="11" t="s">
        <v>34</v>
      </c>
    </row>
    <row r="14" customFormat="false" ht="36" hidden="false" customHeight="true" outlineLevel="0" collapsed="false">
      <c r="A14" s="8" t="s">
        <v>35</v>
      </c>
      <c r="B14" s="9" t="s">
        <v>32</v>
      </c>
      <c r="C14" s="10" t="s">
        <v>36</v>
      </c>
      <c r="D14" s="11" t="s">
        <v>37</v>
      </c>
    </row>
    <row r="15" customFormat="false" ht="36" hidden="false" customHeight="true" outlineLevel="0" collapsed="false">
      <c r="A15" s="8" t="s">
        <v>38</v>
      </c>
      <c r="B15" s="9" t="s">
        <v>32</v>
      </c>
      <c r="C15" s="10" t="s">
        <v>39</v>
      </c>
      <c r="D15" s="11" t="s">
        <v>40</v>
      </c>
    </row>
    <row r="16" customFormat="false" ht="36" hidden="false" customHeight="true" outlineLevel="0" collapsed="false">
      <c r="A16" s="8" t="s">
        <v>41</v>
      </c>
      <c r="B16" s="9" t="s">
        <v>32</v>
      </c>
      <c r="C16" s="10" t="s">
        <v>42</v>
      </c>
      <c r="D16" s="11" t="s">
        <v>43</v>
      </c>
    </row>
    <row r="17" customFormat="false" ht="36" hidden="false" customHeight="true" outlineLevel="0" collapsed="false">
      <c r="A17" s="8" t="s">
        <v>44</v>
      </c>
      <c r="B17" s="9" t="s">
        <v>32</v>
      </c>
      <c r="C17" s="10" t="s">
        <v>45</v>
      </c>
      <c r="D17" s="11" t="s">
        <v>46</v>
      </c>
    </row>
    <row r="18" customFormat="false" ht="36" hidden="false" customHeight="true" outlineLevel="0" collapsed="false">
      <c r="A18" s="8" t="s">
        <v>47</v>
      </c>
      <c r="B18" s="9" t="s">
        <v>32</v>
      </c>
      <c r="C18" s="10" t="s">
        <v>48</v>
      </c>
      <c r="D18" s="11" t="s">
        <v>49</v>
      </c>
    </row>
    <row r="19" customFormat="false" ht="36" hidden="false" customHeight="true" outlineLevel="0" collapsed="false">
      <c r="A19" s="8" t="s">
        <v>50</v>
      </c>
      <c r="B19" s="9" t="s">
        <v>32</v>
      </c>
      <c r="C19" s="10" t="s">
        <v>51</v>
      </c>
      <c r="D19" s="11" t="s">
        <v>52</v>
      </c>
    </row>
    <row r="20" customFormat="false" ht="36" hidden="false" customHeight="true" outlineLevel="0" collapsed="false">
      <c r="A20" s="8" t="s">
        <v>53</v>
      </c>
      <c r="B20" s="9" t="s">
        <v>32</v>
      </c>
      <c r="C20" s="10" t="s">
        <v>54</v>
      </c>
      <c r="D20" s="11" t="s">
        <v>55</v>
      </c>
    </row>
    <row r="21" customFormat="false" ht="36" hidden="false" customHeight="true" outlineLevel="0" collapsed="false">
      <c r="A21" s="8" t="s">
        <v>56</v>
      </c>
      <c r="B21" s="9" t="s">
        <v>56</v>
      </c>
      <c r="C21" s="10" t="s">
        <v>57</v>
      </c>
      <c r="D21" s="11" t="s">
        <v>58</v>
      </c>
    </row>
    <row r="22" customFormat="false" ht="36" hidden="false" customHeight="true" outlineLevel="0" collapsed="false">
      <c r="A22" s="8" t="s">
        <v>59</v>
      </c>
      <c r="B22" s="9" t="s">
        <v>56</v>
      </c>
      <c r="C22" s="10" t="s">
        <v>60</v>
      </c>
      <c r="D22" s="11" t="s">
        <v>61</v>
      </c>
    </row>
    <row r="23" customFormat="false" ht="36" hidden="false" customHeight="true" outlineLevel="0" collapsed="false">
      <c r="A23" s="8" t="s">
        <v>62</v>
      </c>
      <c r="B23" s="9" t="s">
        <v>56</v>
      </c>
      <c r="C23" s="10" t="s">
        <v>63</v>
      </c>
      <c r="D23" s="11" t="s">
        <v>64</v>
      </c>
    </row>
    <row r="24" customFormat="false" ht="36" hidden="false" customHeight="true" outlineLevel="0" collapsed="false">
      <c r="A24" s="8" t="s">
        <v>65</v>
      </c>
      <c r="B24" s="9" t="s">
        <v>56</v>
      </c>
      <c r="C24" s="10" t="s">
        <v>66</v>
      </c>
      <c r="D24" s="11" t="s">
        <v>67</v>
      </c>
    </row>
    <row r="25" customFormat="false" ht="36" hidden="false" customHeight="true" outlineLevel="0" collapsed="false">
      <c r="A25" s="8" t="s">
        <v>68</v>
      </c>
      <c r="B25" s="9" t="s">
        <v>56</v>
      </c>
      <c r="C25" s="10" t="s">
        <v>69</v>
      </c>
      <c r="D25" s="11" t="s">
        <v>70</v>
      </c>
    </row>
    <row r="26" customFormat="false" ht="36" hidden="false" customHeight="true" outlineLevel="0" collapsed="false">
      <c r="A26" s="8" t="s">
        <v>71</v>
      </c>
      <c r="B26" s="9" t="s">
        <v>56</v>
      </c>
      <c r="C26" s="10" t="s">
        <v>72</v>
      </c>
      <c r="D26" s="11" t="s">
        <v>73</v>
      </c>
    </row>
    <row r="27" customFormat="false" ht="36" hidden="false" customHeight="true" outlineLevel="0" collapsed="false">
      <c r="A27" s="8" t="s">
        <v>74</v>
      </c>
      <c r="B27" s="9" t="s">
        <v>56</v>
      </c>
      <c r="C27" s="10" t="s">
        <v>75</v>
      </c>
      <c r="D27" s="11" t="s">
        <v>76</v>
      </c>
    </row>
    <row r="28" customFormat="false" ht="36" hidden="false" customHeight="true" outlineLevel="0" collapsed="false">
      <c r="A28" s="8" t="s">
        <v>77</v>
      </c>
      <c r="B28" s="9" t="s">
        <v>56</v>
      </c>
      <c r="C28" s="10" t="s">
        <v>78</v>
      </c>
      <c r="D28" s="11" t="s">
        <v>79</v>
      </c>
    </row>
    <row r="29" customFormat="false" ht="36" hidden="false" customHeight="true" outlineLevel="0" collapsed="false">
      <c r="A29" s="8" t="s">
        <v>80</v>
      </c>
      <c r="B29" s="9" t="s">
        <v>56</v>
      </c>
      <c r="C29" s="10" t="s">
        <v>81</v>
      </c>
      <c r="D29" s="11" t="s">
        <v>82</v>
      </c>
    </row>
    <row r="30" customFormat="false" ht="36" hidden="false" customHeight="true" outlineLevel="0" collapsed="false">
      <c r="A30" s="4" t="s">
        <v>83</v>
      </c>
      <c r="B30" s="5" t="s">
        <v>84</v>
      </c>
      <c r="C30" s="6" t="s">
        <v>85</v>
      </c>
      <c r="D30" s="7" t="s">
        <v>86</v>
      </c>
    </row>
    <row r="31" customFormat="false" ht="36" hidden="false" customHeight="true" outlineLevel="0" collapsed="false">
      <c r="A31" s="4" t="s">
        <v>87</v>
      </c>
      <c r="B31" s="5" t="s">
        <v>84</v>
      </c>
      <c r="C31" s="6" t="s">
        <v>88</v>
      </c>
      <c r="D31" s="7" t="s">
        <v>89</v>
      </c>
    </row>
    <row r="32" customFormat="false" ht="36" hidden="false" customHeight="true" outlineLevel="0" collapsed="false">
      <c r="A32" s="4" t="s">
        <v>90</v>
      </c>
      <c r="B32" s="5" t="s">
        <v>84</v>
      </c>
      <c r="C32" s="6" t="s">
        <v>91</v>
      </c>
      <c r="D32" s="7" t="s">
        <v>92</v>
      </c>
    </row>
    <row r="33" customFormat="false" ht="36" hidden="false" customHeight="true" outlineLevel="0" collapsed="false">
      <c r="A33" s="4" t="s">
        <v>93</v>
      </c>
      <c r="B33" s="5" t="s">
        <v>84</v>
      </c>
      <c r="C33" s="6" t="s">
        <v>94</v>
      </c>
      <c r="D33" s="7" t="s">
        <v>95</v>
      </c>
    </row>
    <row r="34" customFormat="false" ht="36" hidden="false" customHeight="true" outlineLevel="0" collapsed="false">
      <c r="A34" s="4" t="s">
        <v>96</v>
      </c>
      <c r="B34" s="5" t="s">
        <v>84</v>
      </c>
      <c r="C34" s="6" t="s">
        <v>97</v>
      </c>
      <c r="D34" s="7" t="s">
        <v>98</v>
      </c>
    </row>
    <row r="35" customFormat="false" ht="36" hidden="false" customHeight="true" outlineLevel="0" collapsed="false">
      <c r="A35" s="4" t="s">
        <v>99</v>
      </c>
      <c r="B35" s="5" t="s">
        <v>84</v>
      </c>
      <c r="C35" s="6" t="s">
        <v>100</v>
      </c>
      <c r="D35" s="7" t="s">
        <v>101</v>
      </c>
    </row>
    <row r="36" customFormat="false" ht="36" hidden="false" customHeight="true" outlineLevel="0" collapsed="false">
      <c r="A36" s="4" t="s">
        <v>102</v>
      </c>
      <c r="B36" s="5" t="s">
        <v>84</v>
      </c>
      <c r="C36" s="6" t="s">
        <v>103</v>
      </c>
      <c r="D36" s="7" t="s">
        <v>104</v>
      </c>
    </row>
    <row r="37" customFormat="false" ht="36" hidden="false" customHeight="true" outlineLevel="0" collapsed="false">
      <c r="A37" s="4" t="s">
        <v>105</v>
      </c>
      <c r="B37" s="5" t="s">
        <v>84</v>
      </c>
      <c r="C37" s="6" t="s">
        <v>106</v>
      </c>
      <c r="D37" s="7" t="s">
        <v>107</v>
      </c>
    </row>
    <row r="38" customFormat="false" ht="36" hidden="false" customHeight="true" outlineLevel="0" collapsed="false">
      <c r="A38" s="4" t="s">
        <v>108</v>
      </c>
      <c r="B38" s="5" t="s">
        <v>84</v>
      </c>
      <c r="C38" s="6" t="s">
        <v>109</v>
      </c>
      <c r="D38" s="7" t="s">
        <v>110</v>
      </c>
    </row>
    <row r="39" customFormat="false" ht="36" hidden="false" customHeight="true" outlineLevel="0" collapsed="false">
      <c r="A39" s="4" t="s">
        <v>111</v>
      </c>
      <c r="B39" s="5" t="s">
        <v>84</v>
      </c>
      <c r="C39" s="6" t="s">
        <v>112</v>
      </c>
      <c r="D39" s="7" t="s">
        <v>113</v>
      </c>
    </row>
    <row r="40" customFormat="false" ht="36" hidden="false" customHeight="true" outlineLevel="0" collapsed="false">
      <c r="A40" s="4" t="s">
        <v>114</v>
      </c>
      <c r="B40" s="5" t="s">
        <v>84</v>
      </c>
      <c r="C40" s="6" t="s">
        <v>115</v>
      </c>
      <c r="D40" s="7" t="s">
        <v>116</v>
      </c>
    </row>
    <row r="41" customFormat="false" ht="36" hidden="false" customHeight="true" outlineLevel="0" collapsed="false">
      <c r="A41" s="4" t="s">
        <v>117</v>
      </c>
      <c r="B41" s="5" t="s">
        <v>84</v>
      </c>
      <c r="C41" s="6" t="s">
        <v>118</v>
      </c>
      <c r="D41" s="7" t="s">
        <v>119</v>
      </c>
    </row>
    <row r="42" customFormat="false" ht="36" hidden="false" customHeight="true" outlineLevel="0" collapsed="false">
      <c r="A42" s="4" t="s">
        <v>120</v>
      </c>
      <c r="B42" s="5" t="s">
        <v>84</v>
      </c>
      <c r="C42" s="6" t="s">
        <v>121</v>
      </c>
      <c r="D42" s="7" t="s">
        <v>122</v>
      </c>
    </row>
    <row r="43" customFormat="false" ht="36" hidden="false" customHeight="true" outlineLevel="0" collapsed="false">
      <c r="A43" s="4" t="s">
        <v>123</v>
      </c>
      <c r="B43" s="5" t="s">
        <v>84</v>
      </c>
      <c r="C43" s="6" t="s">
        <v>124</v>
      </c>
      <c r="D43" s="7" t="s">
        <v>125</v>
      </c>
    </row>
    <row r="44" customFormat="false" ht="36" hidden="false" customHeight="true" outlineLevel="0" collapsed="false">
      <c r="A44" s="4" t="s">
        <v>126</v>
      </c>
      <c r="B44" s="5" t="s">
        <v>84</v>
      </c>
      <c r="C44" s="6" t="s">
        <v>127</v>
      </c>
      <c r="D44" s="7" t="s">
        <v>128</v>
      </c>
    </row>
    <row r="45" customFormat="false" ht="36" hidden="false" customHeight="true" outlineLevel="0" collapsed="false">
      <c r="A45" s="8" t="s">
        <v>129</v>
      </c>
      <c r="B45" s="9" t="s">
        <v>130</v>
      </c>
      <c r="C45" s="10" t="s">
        <v>131</v>
      </c>
      <c r="D45" s="11" t="s">
        <v>132</v>
      </c>
    </row>
    <row r="46" customFormat="false" ht="36" hidden="false" customHeight="true" outlineLevel="0" collapsed="false">
      <c r="A46" s="8" t="s">
        <v>133</v>
      </c>
      <c r="B46" s="9" t="s">
        <v>130</v>
      </c>
      <c r="C46" s="10" t="s">
        <v>134</v>
      </c>
      <c r="D46" s="11" t="s">
        <v>135</v>
      </c>
    </row>
    <row r="47" customFormat="false" ht="36" hidden="false" customHeight="true" outlineLevel="0" collapsed="false">
      <c r="A47" s="8" t="s">
        <v>136</v>
      </c>
      <c r="B47" s="9" t="s">
        <v>130</v>
      </c>
      <c r="C47" s="10" t="s">
        <v>137</v>
      </c>
      <c r="D47" s="11" t="s">
        <v>138</v>
      </c>
    </row>
    <row r="48" customFormat="false" ht="36" hidden="false" customHeight="true" outlineLevel="0" collapsed="false">
      <c r="A48" s="8" t="s">
        <v>139</v>
      </c>
      <c r="B48" s="9" t="s">
        <v>130</v>
      </c>
      <c r="C48" s="10" t="s">
        <v>140</v>
      </c>
      <c r="D48" s="11" t="s">
        <v>141</v>
      </c>
    </row>
    <row r="49" customFormat="false" ht="36" hidden="false" customHeight="true" outlineLevel="0" collapsed="false">
      <c r="A49" s="8" t="s">
        <v>142</v>
      </c>
      <c r="B49" s="9" t="s">
        <v>130</v>
      </c>
      <c r="C49" s="10" t="s">
        <v>143</v>
      </c>
      <c r="D49" s="11" t="s">
        <v>144</v>
      </c>
    </row>
    <row r="50" customFormat="false" ht="36" hidden="false" customHeight="true" outlineLevel="0" collapsed="false">
      <c r="A50" s="8" t="s">
        <v>145</v>
      </c>
      <c r="B50" s="9" t="s">
        <v>130</v>
      </c>
      <c r="C50" s="10" t="s">
        <v>146</v>
      </c>
      <c r="D50" s="11" t="s">
        <v>147</v>
      </c>
    </row>
    <row r="51" customFormat="false" ht="36" hidden="false" customHeight="true" outlineLevel="0" collapsed="false">
      <c r="A51" s="4" t="s">
        <v>148</v>
      </c>
      <c r="B51" s="5" t="s">
        <v>149</v>
      </c>
      <c r="C51" s="6" t="s">
        <v>150</v>
      </c>
      <c r="D51" s="7" t="s">
        <v>151</v>
      </c>
    </row>
    <row r="52" customFormat="false" ht="36" hidden="false" customHeight="true" outlineLevel="0" collapsed="false">
      <c r="A52" s="4" t="s">
        <v>152</v>
      </c>
      <c r="B52" s="5" t="s">
        <v>149</v>
      </c>
      <c r="C52" s="6" t="s">
        <v>153</v>
      </c>
      <c r="D52" s="7" t="s">
        <v>154</v>
      </c>
    </row>
    <row r="53" customFormat="false" ht="36" hidden="false" customHeight="true" outlineLevel="0" collapsed="false">
      <c r="A53" s="4" t="s">
        <v>155</v>
      </c>
      <c r="B53" s="5" t="s">
        <v>149</v>
      </c>
      <c r="C53" s="6" t="s">
        <v>156</v>
      </c>
      <c r="D53" s="7" t="s">
        <v>157</v>
      </c>
    </row>
    <row r="54" customFormat="false" ht="36" hidden="false" customHeight="true" outlineLevel="0" collapsed="false">
      <c r="A54" s="4" t="s">
        <v>158</v>
      </c>
      <c r="B54" s="5" t="s">
        <v>149</v>
      </c>
      <c r="C54" s="6" t="s">
        <v>159</v>
      </c>
      <c r="D54" s="7" t="s">
        <v>160</v>
      </c>
    </row>
    <row r="55" customFormat="false" ht="36" hidden="false" customHeight="true" outlineLevel="0" collapsed="false">
      <c r="A55" s="4" t="s">
        <v>161</v>
      </c>
      <c r="B55" s="5" t="s">
        <v>149</v>
      </c>
      <c r="C55" s="6" t="s">
        <v>162</v>
      </c>
      <c r="D55" s="7" t="s">
        <v>163</v>
      </c>
    </row>
    <row r="56" customFormat="false" ht="36" hidden="false" customHeight="true" outlineLevel="0" collapsed="false">
      <c r="A56" s="4" t="s">
        <v>164</v>
      </c>
      <c r="B56" s="5" t="s">
        <v>149</v>
      </c>
      <c r="C56" s="6" t="s">
        <v>165</v>
      </c>
      <c r="D56" s="7" t="s">
        <v>166</v>
      </c>
    </row>
    <row r="57" customFormat="false" ht="36" hidden="false" customHeight="true" outlineLevel="0" collapsed="false">
      <c r="A57" s="4" t="s">
        <v>167</v>
      </c>
      <c r="B57" s="5" t="s">
        <v>149</v>
      </c>
      <c r="C57" s="6" t="s">
        <v>168</v>
      </c>
      <c r="D57" s="7" t="s">
        <v>169</v>
      </c>
    </row>
    <row r="58" customFormat="false" ht="36" hidden="false" customHeight="true" outlineLevel="0" collapsed="false">
      <c r="A58" s="8" t="s">
        <v>170</v>
      </c>
      <c r="B58" s="9" t="s">
        <v>171</v>
      </c>
      <c r="C58" s="10" t="s">
        <v>172</v>
      </c>
      <c r="D58" s="11" t="s">
        <v>173</v>
      </c>
    </row>
    <row r="59" customFormat="false" ht="36" hidden="false" customHeight="true" outlineLevel="0" collapsed="false">
      <c r="A59" s="8" t="s">
        <v>174</v>
      </c>
      <c r="B59" s="9" t="s">
        <v>171</v>
      </c>
      <c r="C59" s="10" t="s">
        <v>175</v>
      </c>
      <c r="D59" s="11" t="s">
        <v>176</v>
      </c>
    </row>
    <row r="60" customFormat="false" ht="36" hidden="false" customHeight="true" outlineLevel="0" collapsed="false">
      <c r="A60" s="8" t="s">
        <v>177</v>
      </c>
      <c r="B60" s="9" t="s">
        <v>171</v>
      </c>
      <c r="C60" s="10" t="s">
        <v>178</v>
      </c>
      <c r="D60" s="11" t="s">
        <v>179</v>
      </c>
    </row>
    <row r="61" customFormat="false" ht="36" hidden="false" customHeight="true" outlineLevel="0" collapsed="false">
      <c r="A61" s="8" t="s">
        <v>180</v>
      </c>
      <c r="B61" s="9" t="s">
        <v>171</v>
      </c>
      <c r="C61" s="10" t="s">
        <v>181</v>
      </c>
      <c r="D61" s="11" t="s">
        <v>182</v>
      </c>
    </row>
    <row r="62" customFormat="false" ht="36" hidden="false" customHeight="true" outlineLevel="0" collapsed="false">
      <c r="A62" s="8" t="s">
        <v>183</v>
      </c>
      <c r="B62" s="9" t="s">
        <v>171</v>
      </c>
      <c r="C62" s="10" t="s">
        <v>184</v>
      </c>
      <c r="D62" s="11" t="s">
        <v>185</v>
      </c>
    </row>
    <row r="63" customFormat="false" ht="36" hidden="false" customHeight="true" outlineLevel="0" collapsed="false">
      <c r="A63" s="8" t="s">
        <v>186</v>
      </c>
      <c r="B63" s="9" t="s">
        <v>171</v>
      </c>
      <c r="C63" s="10" t="s">
        <v>187</v>
      </c>
      <c r="D63" s="11" t="s">
        <v>188</v>
      </c>
    </row>
    <row r="64" customFormat="false" ht="36" hidden="false" customHeight="true" outlineLevel="0" collapsed="false">
      <c r="A64" s="8" t="s">
        <v>189</v>
      </c>
      <c r="B64" s="9" t="s">
        <v>171</v>
      </c>
      <c r="C64" s="10" t="s">
        <v>190</v>
      </c>
      <c r="D64" s="11" t="s">
        <v>191</v>
      </c>
    </row>
    <row r="65" customFormat="false" ht="36" hidden="false" customHeight="true" outlineLevel="0" collapsed="false">
      <c r="A65" s="8" t="s">
        <v>192</v>
      </c>
      <c r="B65" s="9" t="s">
        <v>171</v>
      </c>
      <c r="C65" s="10" t="s">
        <v>193</v>
      </c>
      <c r="D65" s="11" t="s">
        <v>194</v>
      </c>
    </row>
    <row r="66" customFormat="false" ht="36" hidden="false" customHeight="true" outlineLevel="0" collapsed="false">
      <c r="A66" s="8" t="s">
        <v>195</v>
      </c>
      <c r="B66" s="9" t="s">
        <v>171</v>
      </c>
      <c r="C66" s="10" t="s">
        <v>196</v>
      </c>
      <c r="D66" s="11" t="s">
        <v>197</v>
      </c>
    </row>
    <row r="67" customFormat="false" ht="36" hidden="false" customHeight="true" outlineLevel="0" collapsed="false">
      <c r="A67" s="8" t="s">
        <v>198</v>
      </c>
      <c r="B67" s="9" t="s">
        <v>199</v>
      </c>
      <c r="C67" s="10" t="s">
        <v>200</v>
      </c>
      <c r="D67" s="11" t="s">
        <v>201</v>
      </c>
    </row>
    <row r="68" customFormat="false" ht="36" hidden="false" customHeight="true" outlineLevel="0" collapsed="false">
      <c r="A68" s="8" t="s">
        <v>202</v>
      </c>
      <c r="B68" s="9" t="s">
        <v>199</v>
      </c>
      <c r="C68" s="10" t="s">
        <v>203</v>
      </c>
      <c r="D68" s="11" t="s">
        <v>204</v>
      </c>
    </row>
    <row r="69" customFormat="false" ht="36" hidden="false" customHeight="true" outlineLevel="0" collapsed="false">
      <c r="A69" s="8" t="s">
        <v>205</v>
      </c>
      <c r="B69" s="9" t="s">
        <v>199</v>
      </c>
      <c r="C69" s="10" t="s">
        <v>206</v>
      </c>
      <c r="D69" s="11" t="s">
        <v>207</v>
      </c>
    </row>
    <row r="70" customFormat="false" ht="36" hidden="false" customHeight="true" outlineLevel="0" collapsed="false">
      <c r="A70" s="8" t="s">
        <v>208</v>
      </c>
      <c r="B70" s="9" t="s">
        <v>209</v>
      </c>
      <c r="C70" s="10" t="s">
        <v>210</v>
      </c>
      <c r="D70" s="11" t="s">
        <v>211</v>
      </c>
    </row>
    <row r="71" customFormat="false" ht="36" hidden="false" customHeight="true" outlineLevel="0" collapsed="false">
      <c r="A71" s="8" t="s">
        <v>212</v>
      </c>
      <c r="B71" s="9" t="s">
        <v>209</v>
      </c>
      <c r="C71" s="10" t="s">
        <v>213</v>
      </c>
      <c r="D71" s="11" t="s">
        <v>214</v>
      </c>
    </row>
    <row r="72" customFormat="false" ht="36" hidden="false" customHeight="true" outlineLevel="0" collapsed="false">
      <c r="A72" s="8" t="s">
        <v>215</v>
      </c>
      <c r="B72" s="9" t="s">
        <v>209</v>
      </c>
      <c r="C72" s="10" t="s">
        <v>216</v>
      </c>
      <c r="D72" s="11" t="s">
        <v>217</v>
      </c>
    </row>
    <row r="73" customFormat="false" ht="36" hidden="false" customHeight="true" outlineLevel="0" collapsed="false">
      <c r="A73" s="8" t="s">
        <v>218</v>
      </c>
      <c r="B73" s="9" t="s">
        <v>209</v>
      </c>
      <c r="C73" s="10" t="s">
        <v>219</v>
      </c>
      <c r="D73" s="11" t="s">
        <v>220</v>
      </c>
    </row>
    <row r="74" customFormat="false" ht="36" hidden="false" customHeight="true" outlineLevel="0" collapsed="false">
      <c r="A74" s="8" t="s">
        <v>221</v>
      </c>
      <c r="B74" s="9" t="s">
        <v>209</v>
      </c>
      <c r="C74" s="10" t="s">
        <v>222</v>
      </c>
      <c r="D74" s="11" t="s">
        <v>223</v>
      </c>
    </row>
    <row r="75" customFormat="false" ht="36" hidden="false" customHeight="true" outlineLevel="0" collapsed="false">
      <c r="A75" s="8" t="s">
        <v>224</v>
      </c>
      <c r="B75" s="9" t="s">
        <v>209</v>
      </c>
      <c r="C75" s="10" t="s">
        <v>225</v>
      </c>
      <c r="D75" s="11" t="s">
        <v>226</v>
      </c>
    </row>
    <row r="76" customFormat="false" ht="36" hidden="false" customHeight="true" outlineLevel="0" collapsed="false">
      <c r="A76" s="8" t="s">
        <v>227</v>
      </c>
      <c r="B76" s="9" t="s">
        <v>209</v>
      </c>
      <c r="C76" s="10" t="s">
        <v>228</v>
      </c>
      <c r="D76" s="11" t="s">
        <v>229</v>
      </c>
    </row>
    <row r="77" customFormat="false" ht="36" hidden="false" customHeight="true" outlineLevel="0" collapsed="false">
      <c r="A77" s="4" t="s">
        <v>230</v>
      </c>
      <c r="B77" s="5" t="s">
        <v>231</v>
      </c>
      <c r="C77" s="6" t="s">
        <v>232</v>
      </c>
      <c r="D77" s="7" t="s">
        <v>233</v>
      </c>
    </row>
    <row r="78" customFormat="false" ht="36" hidden="false" customHeight="true" outlineLevel="0" collapsed="false">
      <c r="A78" s="4" t="s">
        <v>234</v>
      </c>
      <c r="B78" s="5" t="s">
        <v>231</v>
      </c>
      <c r="C78" s="6" t="s">
        <v>235</v>
      </c>
      <c r="D78" s="7" t="s">
        <v>236</v>
      </c>
    </row>
    <row r="79" customFormat="false" ht="36" hidden="false" customHeight="true" outlineLevel="0" collapsed="false">
      <c r="A79" s="4" t="s">
        <v>237</v>
      </c>
      <c r="B79" s="5" t="s">
        <v>231</v>
      </c>
      <c r="C79" s="6" t="s">
        <v>238</v>
      </c>
      <c r="D79" s="7" t="s">
        <v>239</v>
      </c>
    </row>
    <row r="80" customFormat="false" ht="36" hidden="false" customHeight="true" outlineLevel="0" collapsed="false">
      <c r="A80" s="4" t="s">
        <v>240</v>
      </c>
      <c r="B80" s="5" t="s">
        <v>231</v>
      </c>
      <c r="C80" s="6" t="s">
        <v>241</v>
      </c>
      <c r="D80" s="7" t="s">
        <v>242</v>
      </c>
    </row>
    <row r="81" customFormat="false" ht="36" hidden="false" customHeight="true" outlineLevel="0" collapsed="false">
      <c r="A81" s="4" t="s">
        <v>243</v>
      </c>
      <c r="B81" s="5" t="s">
        <v>231</v>
      </c>
      <c r="C81" s="6" t="s">
        <v>244</v>
      </c>
      <c r="D81" s="7" t="s">
        <v>245</v>
      </c>
    </row>
    <row r="82" customFormat="false" ht="36" hidden="false" customHeight="true" outlineLevel="0" collapsed="false">
      <c r="A82" s="4" t="s">
        <v>246</v>
      </c>
      <c r="B82" s="5" t="s">
        <v>231</v>
      </c>
      <c r="C82" s="6" t="s">
        <v>247</v>
      </c>
      <c r="D82" s="7" t="s">
        <v>248</v>
      </c>
    </row>
    <row r="83" customFormat="false" ht="36" hidden="false" customHeight="true" outlineLevel="0" collapsed="false">
      <c r="A83" s="4" t="s">
        <v>249</v>
      </c>
      <c r="B83" s="5" t="s">
        <v>250</v>
      </c>
      <c r="C83" s="6" t="s">
        <v>251</v>
      </c>
      <c r="D83" s="7" t="s">
        <v>252</v>
      </c>
    </row>
    <row r="84" customFormat="false" ht="36" hidden="false" customHeight="true" outlineLevel="0" collapsed="false">
      <c r="A84" s="4" t="s">
        <v>253</v>
      </c>
      <c r="B84" s="5" t="s">
        <v>250</v>
      </c>
      <c r="C84" s="6" t="s">
        <v>254</v>
      </c>
      <c r="D84" s="7" t="s">
        <v>255</v>
      </c>
    </row>
    <row r="85" customFormat="false" ht="36" hidden="false" customHeight="true" outlineLevel="0" collapsed="false">
      <c r="A85" s="4" t="s">
        <v>256</v>
      </c>
      <c r="B85" s="5" t="s">
        <v>250</v>
      </c>
      <c r="C85" s="6" t="s">
        <v>257</v>
      </c>
      <c r="D85" s="7" t="s">
        <v>258</v>
      </c>
    </row>
    <row r="86" customFormat="false" ht="36" hidden="false" customHeight="true" outlineLevel="0" collapsed="false">
      <c r="A86" s="4" t="s">
        <v>259</v>
      </c>
      <c r="B86" s="5" t="s">
        <v>250</v>
      </c>
      <c r="C86" s="6" t="s">
        <v>260</v>
      </c>
      <c r="D86" s="7" t="s">
        <v>261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32"/>
    <col collapsed="false" customWidth="true" hidden="false" outlineLevel="0" max="4" min="4" style="0" width="55"/>
    <col collapsed="false" customWidth="true" hidden="false" outlineLevel="0" max="5" min="5" style="0" width="45"/>
  </cols>
  <sheetData>
    <row r="1" customFormat="false" ht="25.5" hidden="false" customHeight="true" outlineLevel="0" collapsed="false">
      <c r="A1" s="1" t="s">
        <v>262</v>
      </c>
    </row>
    <row r="2" customFormat="false" ht="19.5" hidden="false" customHeight="true" outlineLevel="0" collapsed="false">
      <c r="A2" s="12" t="s">
        <v>263</v>
      </c>
    </row>
    <row r="4" customFormat="false" ht="24" hidden="false" customHeight="true" outlineLevel="0" collapsed="false">
      <c r="A4" s="3" t="s">
        <v>264</v>
      </c>
      <c r="B4" s="3" t="s">
        <v>265</v>
      </c>
      <c r="C4" s="3" t="s">
        <v>266</v>
      </c>
      <c r="D4" s="3" t="s">
        <v>267</v>
      </c>
      <c r="E4" s="3" t="s">
        <v>268</v>
      </c>
    </row>
    <row r="5" customFormat="false" ht="49.5" hidden="false" customHeight="true" outlineLevel="0" collapsed="false">
      <c r="A5" s="13" t="s">
        <v>269</v>
      </c>
      <c r="B5" s="14" t="n">
        <v>1</v>
      </c>
      <c r="C5" s="15" t="s">
        <v>270</v>
      </c>
      <c r="D5" s="16" t="s">
        <v>271</v>
      </c>
      <c r="E5" s="17" t="s">
        <v>272</v>
      </c>
    </row>
    <row r="6" customFormat="false" ht="49.5" hidden="false" customHeight="true" outlineLevel="0" collapsed="false">
      <c r="A6" s="13" t="s">
        <v>269</v>
      </c>
      <c r="B6" s="14" t="n">
        <v>2</v>
      </c>
      <c r="C6" s="15" t="s">
        <v>273</v>
      </c>
      <c r="D6" s="16" t="s">
        <v>274</v>
      </c>
      <c r="E6" s="17" t="s">
        <v>275</v>
      </c>
    </row>
    <row r="7" customFormat="false" ht="49.5" hidden="false" customHeight="true" outlineLevel="0" collapsed="false">
      <c r="A7" s="13" t="s">
        <v>269</v>
      </c>
      <c r="B7" s="14" t="n">
        <v>3</v>
      </c>
      <c r="C7" s="15" t="s">
        <v>276</v>
      </c>
      <c r="D7" s="16" t="s">
        <v>277</v>
      </c>
      <c r="E7" s="17" t="s">
        <v>278</v>
      </c>
    </row>
    <row r="8" customFormat="false" ht="49.5" hidden="false" customHeight="true" outlineLevel="0" collapsed="false">
      <c r="A8" s="13" t="s">
        <v>269</v>
      </c>
      <c r="B8" s="14" t="n">
        <v>4</v>
      </c>
      <c r="C8" s="15" t="s">
        <v>279</v>
      </c>
      <c r="D8" s="16" t="s">
        <v>280</v>
      </c>
      <c r="E8" s="17" t="s">
        <v>281</v>
      </c>
    </row>
    <row r="9" customFormat="false" ht="49.5" hidden="false" customHeight="true" outlineLevel="0" collapsed="false">
      <c r="A9" s="13" t="s">
        <v>269</v>
      </c>
      <c r="B9" s="14" t="n">
        <v>5</v>
      </c>
      <c r="C9" s="15" t="s">
        <v>282</v>
      </c>
      <c r="D9" s="16" t="s">
        <v>283</v>
      </c>
      <c r="E9" s="17" t="s">
        <v>284</v>
      </c>
    </row>
    <row r="10" customFormat="false" ht="49.5" hidden="false" customHeight="true" outlineLevel="0" collapsed="false">
      <c r="A10" s="13" t="s">
        <v>269</v>
      </c>
      <c r="B10" s="14" t="n">
        <v>6</v>
      </c>
      <c r="C10" s="15" t="s">
        <v>285</v>
      </c>
      <c r="D10" s="16" t="s">
        <v>286</v>
      </c>
      <c r="E10" s="17" t="s">
        <v>287</v>
      </c>
    </row>
    <row r="11" customFormat="false" ht="49.5" hidden="false" customHeight="true" outlineLevel="0" collapsed="false">
      <c r="A11" s="13" t="s">
        <v>269</v>
      </c>
      <c r="B11" s="14" t="n">
        <v>7</v>
      </c>
      <c r="C11" s="15" t="s">
        <v>288</v>
      </c>
      <c r="D11" s="16" t="s">
        <v>289</v>
      </c>
      <c r="E11" s="17" t="s">
        <v>290</v>
      </c>
    </row>
    <row r="12" customFormat="false" ht="49.5" hidden="false" customHeight="true" outlineLevel="0" collapsed="false">
      <c r="A12" s="13" t="s">
        <v>269</v>
      </c>
      <c r="B12" s="14" t="n">
        <v>8</v>
      </c>
      <c r="C12" s="15" t="s">
        <v>291</v>
      </c>
      <c r="D12" s="16" t="s">
        <v>292</v>
      </c>
      <c r="E12" s="17" t="s">
        <v>293</v>
      </c>
    </row>
    <row r="13" customFormat="false" ht="49.5" hidden="false" customHeight="true" outlineLevel="0" collapsed="false">
      <c r="A13" s="13" t="s">
        <v>269</v>
      </c>
      <c r="B13" s="14" t="n">
        <v>9</v>
      </c>
      <c r="C13" s="15" t="s">
        <v>294</v>
      </c>
      <c r="D13" s="16" t="s">
        <v>295</v>
      </c>
      <c r="E13" s="17" t="s">
        <v>296</v>
      </c>
    </row>
    <row r="14" customFormat="false" ht="49.5" hidden="false" customHeight="true" outlineLevel="0" collapsed="false">
      <c r="A14" s="13" t="s">
        <v>269</v>
      </c>
      <c r="B14" s="14" t="n">
        <v>10</v>
      </c>
      <c r="C14" s="15" t="s">
        <v>297</v>
      </c>
      <c r="D14" s="16" t="s">
        <v>298</v>
      </c>
      <c r="E14" s="17" t="s">
        <v>299</v>
      </c>
    </row>
    <row r="15" customFormat="false" ht="49.5" hidden="false" customHeight="true" outlineLevel="0" collapsed="false">
      <c r="A15" s="13" t="s">
        <v>269</v>
      </c>
      <c r="B15" s="14" t="n">
        <v>11</v>
      </c>
      <c r="C15" s="15" t="s">
        <v>300</v>
      </c>
      <c r="D15" s="16" t="s">
        <v>301</v>
      </c>
      <c r="E15" s="17" t="s">
        <v>302</v>
      </c>
    </row>
    <row r="16" customFormat="false" ht="49.5" hidden="false" customHeight="true" outlineLevel="0" collapsed="false">
      <c r="A16" s="13" t="s">
        <v>269</v>
      </c>
      <c r="B16" s="14" t="n">
        <v>12</v>
      </c>
      <c r="C16" s="15" t="s">
        <v>303</v>
      </c>
      <c r="D16" s="16" t="s">
        <v>304</v>
      </c>
      <c r="E16" s="17" t="s">
        <v>305</v>
      </c>
    </row>
    <row r="19" customFormat="false" ht="17.35" hidden="false" customHeight="false" outlineLevel="0" collapsed="false">
      <c r="A19" s="18" t="s">
        <v>306</v>
      </c>
    </row>
    <row r="20" customFormat="false" ht="240" hidden="false" customHeight="true" outlineLevel="0" collapsed="false">
      <c r="A20" s="19" t="s">
        <v>307</v>
      </c>
      <c r="B20" s="19"/>
      <c r="C20" s="19"/>
      <c r="D20" s="19"/>
      <c r="E20" s="19"/>
    </row>
  </sheetData>
  <mergeCells count="1">
    <mergeCell ref="A20:E2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1" t="s">
        <v>308</v>
      </c>
    </row>
    <row r="2" customFormat="false" ht="19.5" hidden="false" customHeight="true" outlineLevel="0" collapsed="false">
      <c r="A2" s="2" t="s">
        <v>309</v>
      </c>
    </row>
    <row r="4" customFormat="false" ht="15" hidden="false" customHeight="false" outlineLevel="0" collapsed="false">
      <c r="A4" s="20" t="s">
        <v>310</v>
      </c>
      <c r="B4" s="20"/>
      <c r="C4" s="20"/>
      <c r="D4" s="20"/>
    </row>
    <row r="6" customFormat="false" ht="24" hidden="false" customHeight="true" outlineLevel="0" collapsed="false">
      <c r="A6" s="3" t="s">
        <v>265</v>
      </c>
      <c r="B6" s="3" t="s">
        <v>311</v>
      </c>
      <c r="C6" s="3" t="s">
        <v>312</v>
      </c>
      <c r="D6" s="3" t="s">
        <v>313</v>
      </c>
    </row>
    <row r="7" customFormat="false" ht="31.5" hidden="false" customHeight="true" outlineLevel="0" collapsed="false">
      <c r="A7" s="14" t="n">
        <v>1</v>
      </c>
      <c r="B7" s="16" t="s">
        <v>314</v>
      </c>
      <c r="C7" s="21"/>
      <c r="D7" s="22" t="s">
        <v>315</v>
      </c>
    </row>
    <row r="8" customFormat="false" ht="31.5" hidden="false" customHeight="true" outlineLevel="0" collapsed="false">
      <c r="A8" s="14" t="n">
        <v>2</v>
      </c>
      <c r="B8" s="16" t="s">
        <v>316</v>
      </c>
      <c r="C8" s="21"/>
      <c r="D8" s="22" t="s">
        <v>317</v>
      </c>
    </row>
    <row r="9" customFormat="false" ht="31.5" hidden="false" customHeight="true" outlineLevel="0" collapsed="false">
      <c r="A9" s="14" t="n">
        <v>3</v>
      </c>
      <c r="B9" s="16" t="s">
        <v>318</v>
      </c>
      <c r="C9" s="21"/>
      <c r="D9" s="22" t="s">
        <v>319</v>
      </c>
    </row>
    <row r="10" customFormat="false" ht="31.5" hidden="false" customHeight="true" outlineLevel="0" collapsed="false">
      <c r="A10" s="14" t="n">
        <v>4</v>
      </c>
      <c r="B10" s="16" t="s">
        <v>320</v>
      </c>
      <c r="C10" s="21"/>
      <c r="D10" s="22" t="s">
        <v>321</v>
      </c>
    </row>
    <row r="11" customFormat="false" ht="31.5" hidden="false" customHeight="true" outlineLevel="0" collapsed="false">
      <c r="A11" s="14" t="n">
        <v>5</v>
      </c>
      <c r="B11" s="16" t="s">
        <v>322</v>
      </c>
      <c r="C11" s="21"/>
      <c r="D11" s="22" t="s">
        <v>323</v>
      </c>
    </row>
    <row r="12" customFormat="false" ht="31.5" hidden="false" customHeight="true" outlineLevel="0" collapsed="false">
      <c r="A12" s="14" t="n">
        <v>6</v>
      </c>
      <c r="B12" s="16" t="s">
        <v>324</v>
      </c>
      <c r="C12" s="21"/>
      <c r="D12" s="22" t="s">
        <v>325</v>
      </c>
    </row>
    <row r="13" customFormat="false" ht="31.5" hidden="false" customHeight="true" outlineLevel="0" collapsed="false">
      <c r="A13" s="14" t="n">
        <v>7</v>
      </c>
      <c r="B13" s="16" t="s">
        <v>326</v>
      </c>
      <c r="C13" s="21"/>
      <c r="D13" s="22" t="s">
        <v>327</v>
      </c>
    </row>
    <row r="14" customFormat="false" ht="31.5" hidden="false" customHeight="true" outlineLevel="0" collapsed="false">
      <c r="A14" s="14" t="n">
        <v>8</v>
      </c>
      <c r="B14" s="16" t="s">
        <v>328</v>
      </c>
      <c r="C14" s="21"/>
      <c r="D14" s="22" t="s">
        <v>329</v>
      </c>
    </row>
    <row r="15" customFormat="false" ht="31.5" hidden="false" customHeight="true" outlineLevel="0" collapsed="false">
      <c r="A15" s="14" t="n">
        <v>9</v>
      </c>
      <c r="B15" s="16" t="s">
        <v>330</v>
      </c>
      <c r="C15" s="21"/>
      <c r="D15" s="22" t="s">
        <v>331</v>
      </c>
    </row>
    <row r="16" customFormat="false" ht="31.5" hidden="false" customHeight="true" outlineLevel="0" collapsed="false">
      <c r="A16" s="14" t="n">
        <v>10</v>
      </c>
      <c r="B16" s="16" t="s">
        <v>332</v>
      </c>
      <c r="C16" s="21"/>
      <c r="D16" s="22" t="s">
        <v>333</v>
      </c>
    </row>
    <row r="17" customFormat="false" ht="31.5" hidden="false" customHeight="true" outlineLevel="0" collapsed="false">
      <c r="A17" s="14" t="n">
        <v>11</v>
      </c>
      <c r="B17" s="16" t="s">
        <v>334</v>
      </c>
      <c r="C17" s="21"/>
      <c r="D17" s="22" t="s">
        <v>335</v>
      </c>
    </row>
    <row r="18" customFormat="false" ht="31.5" hidden="false" customHeight="true" outlineLevel="0" collapsed="false">
      <c r="A18" s="14" t="n">
        <v>12</v>
      </c>
      <c r="B18" s="16" t="s">
        <v>336</v>
      </c>
      <c r="C18" s="21"/>
      <c r="D18" s="22" t="s">
        <v>337</v>
      </c>
    </row>
    <row r="19" customFormat="false" ht="31.5" hidden="false" customHeight="true" outlineLevel="0" collapsed="false">
      <c r="A19" s="14" t="n">
        <v>13</v>
      </c>
      <c r="B19" s="16" t="s">
        <v>338</v>
      </c>
      <c r="C19" s="21"/>
      <c r="D19" s="22" t="s">
        <v>339</v>
      </c>
    </row>
    <row r="20" customFormat="false" ht="31.5" hidden="false" customHeight="true" outlineLevel="0" collapsed="false">
      <c r="A20" s="14" t="n">
        <v>14</v>
      </c>
      <c r="B20" s="16" t="s">
        <v>340</v>
      </c>
      <c r="C20" s="21"/>
      <c r="D20" s="22" t="s">
        <v>341</v>
      </c>
    </row>
    <row r="21" customFormat="false" ht="31.5" hidden="false" customHeight="true" outlineLevel="0" collapsed="false">
      <c r="A21" s="14" t="n">
        <v>15</v>
      </c>
      <c r="B21" s="16" t="s">
        <v>342</v>
      </c>
      <c r="C21" s="21"/>
      <c r="D21" s="22" t="s">
        <v>343</v>
      </c>
    </row>
    <row r="22" customFormat="false" ht="31.5" hidden="false" customHeight="true" outlineLevel="0" collapsed="false">
      <c r="A22" s="14" t="n">
        <v>16</v>
      </c>
      <c r="B22" s="16" t="s">
        <v>344</v>
      </c>
      <c r="C22" s="21"/>
      <c r="D22" s="22" t="s">
        <v>345</v>
      </c>
    </row>
    <row r="23" customFormat="false" ht="31.5" hidden="false" customHeight="true" outlineLevel="0" collapsed="false">
      <c r="A23" s="14" t="n">
        <v>17</v>
      </c>
      <c r="B23" s="16" t="s">
        <v>346</v>
      </c>
      <c r="C23" s="21"/>
      <c r="D23" s="22" t="s">
        <v>347</v>
      </c>
    </row>
    <row r="24" customFormat="false" ht="31.5" hidden="false" customHeight="true" outlineLevel="0" collapsed="false">
      <c r="A24" s="14" t="n">
        <v>18</v>
      </c>
      <c r="B24" s="16" t="s">
        <v>348</v>
      </c>
      <c r="C24" s="21"/>
      <c r="D24" s="22" t="s">
        <v>349</v>
      </c>
    </row>
    <row r="27" customFormat="false" ht="15" hidden="false" customHeight="false" outlineLevel="0" collapsed="false">
      <c r="B27" s="23" t="s">
        <v>350</v>
      </c>
      <c r="C27" s="24" t="n">
        <f aca="false">IFERROR(AVERAGE(C7:C24),0)</f>
        <v>0</v>
      </c>
    </row>
    <row r="28" customFormat="false" ht="15" hidden="false" customHeight="false" outlineLevel="0" collapsed="false">
      <c r="B28" s="23" t="s">
        <v>351</v>
      </c>
      <c r="C28" s="25" t="n">
        <f aca="false">COUNTIF(C7:C24,"&lt;3")</f>
        <v>0</v>
      </c>
    </row>
  </sheetData>
  <mergeCells count="1">
    <mergeCell ref="A4:D4"/>
  </mergeCells>
  <conditionalFormatting sqref="C7:C24">
    <cfRule type="cellIs" priority="2" operator="lessThan" aboveAverage="0" equalAverage="0" bottom="0" percent="0" rank="0" text="" dxfId="0">
      <formula>3</formula>
    </cfRule>
    <cfRule type="cellIs" priority="3" operator="greaterThanOrEqual" aboveAverage="0" equalAverage="0" bottom="0" percent="0" rank="0" text="" dxfId="1">
      <formula>4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2"/>
    <col collapsed="false" customWidth="true" hidden="false" outlineLevel="0" max="7" min="4" style="0" width="18"/>
  </cols>
  <sheetData>
    <row r="1" customFormat="false" ht="25.5" hidden="false" customHeight="true" outlineLevel="0" collapsed="false">
      <c r="A1" s="1" t="s">
        <v>352</v>
      </c>
    </row>
    <row r="2" customFormat="false" ht="19.5" hidden="false" customHeight="true" outlineLevel="0" collapsed="false">
      <c r="A2" s="26" t="s">
        <v>353</v>
      </c>
    </row>
    <row r="4" customFormat="false" ht="17.35" hidden="false" customHeight="false" outlineLevel="0" collapsed="false">
      <c r="A4" s="18" t="s">
        <v>354</v>
      </c>
    </row>
    <row r="6" customFormat="false" ht="24" hidden="false" customHeight="true" outlineLevel="0" collapsed="false">
      <c r="A6" s="3" t="s">
        <v>355</v>
      </c>
      <c r="B6" s="3" t="s">
        <v>356</v>
      </c>
      <c r="C6" s="3" t="s">
        <v>357</v>
      </c>
      <c r="D6" s="3" t="s">
        <v>358</v>
      </c>
      <c r="E6" s="3" t="s">
        <v>359</v>
      </c>
      <c r="F6" s="3" t="s">
        <v>360</v>
      </c>
      <c r="G6" s="3" t="s">
        <v>361</v>
      </c>
    </row>
    <row r="7" customFormat="false" ht="21.75" hidden="false" customHeight="true" outlineLevel="0" collapsed="false">
      <c r="A7" s="15" t="s">
        <v>362</v>
      </c>
      <c r="B7" s="22" t="s">
        <v>363</v>
      </c>
      <c r="C7" s="16" t="s">
        <v>237</v>
      </c>
      <c r="D7" s="27" t="n">
        <v>0.035</v>
      </c>
      <c r="E7" s="27" t="n">
        <v>0.14</v>
      </c>
      <c r="F7" s="28" t="n">
        <f aca="false">(D7*3+E7*1)/4</f>
        <v>0.06125</v>
      </c>
      <c r="G7" s="29" t="n">
        <f aca="false">F7*0.5</f>
        <v>0.030625</v>
      </c>
    </row>
    <row r="8" customFormat="false" ht="21.75" hidden="false" customHeight="true" outlineLevel="0" collapsed="false">
      <c r="A8" s="15" t="s">
        <v>364</v>
      </c>
      <c r="B8" s="22" t="s">
        <v>363</v>
      </c>
      <c r="C8" s="16" t="s">
        <v>237</v>
      </c>
      <c r="D8" s="27" t="n">
        <v>0.06</v>
      </c>
      <c r="E8" s="27" t="n">
        <v>0.24</v>
      </c>
      <c r="F8" s="28" t="n">
        <f aca="false">(D8*3+E8*1)/4</f>
        <v>0.105</v>
      </c>
      <c r="G8" s="29" t="n">
        <f aca="false">F8*0.5</f>
        <v>0.0525</v>
      </c>
    </row>
    <row r="9" customFormat="false" ht="21.75" hidden="false" customHeight="true" outlineLevel="0" collapsed="false">
      <c r="A9" s="15" t="s">
        <v>365</v>
      </c>
      <c r="B9" s="22" t="s">
        <v>363</v>
      </c>
      <c r="C9" s="16" t="s">
        <v>246</v>
      </c>
      <c r="D9" s="27" t="n">
        <v>0.8</v>
      </c>
      <c r="E9" s="27" t="n">
        <v>3.2</v>
      </c>
      <c r="F9" s="28" t="n">
        <f aca="false">(D9*3+E9*1)/4</f>
        <v>1.4</v>
      </c>
      <c r="G9" s="29" t="n">
        <f aca="false">F9*0.5</f>
        <v>0.7</v>
      </c>
    </row>
    <row r="10" customFormat="false" ht="21.75" hidden="false" customHeight="true" outlineLevel="0" collapsed="false">
      <c r="A10" s="15" t="s">
        <v>366</v>
      </c>
      <c r="B10" s="22" t="s">
        <v>367</v>
      </c>
      <c r="C10" s="16" t="s">
        <v>237</v>
      </c>
      <c r="D10" s="27" t="n">
        <v>1</v>
      </c>
      <c r="E10" s="27" t="n">
        <v>5</v>
      </c>
      <c r="F10" s="28" t="n">
        <f aca="false">(D10*3+E10*1)/4</f>
        <v>2</v>
      </c>
      <c r="G10" s="29" t="n">
        <f aca="false">F10*0.5</f>
        <v>1</v>
      </c>
    </row>
    <row r="11" customFormat="false" ht="21.75" hidden="false" customHeight="true" outlineLevel="0" collapsed="false">
      <c r="A11" s="15" t="s">
        <v>368</v>
      </c>
      <c r="B11" s="22" t="s">
        <v>367</v>
      </c>
      <c r="C11" s="16" t="s">
        <v>246</v>
      </c>
      <c r="D11" s="27" t="n">
        <v>3</v>
      </c>
      <c r="E11" s="27" t="n">
        <v>15</v>
      </c>
      <c r="F11" s="28" t="n">
        <f aca="false">(D11*3+E11*1)/4</f>
        <v>6</v>
      </c>
      <c r="G11" s="29" t="n">
        <f aca="false">F11*0.5</f>
        <v>3</v>
      </c>
    </row>
    <row r="12" customFormat="false" ht="21.75" hidden="false" customHeight="true" outlineLevel="0" collapsed="false">
      <c r="A12" s="15" t="s">
        <v>369</v>
      </c>
      <c r="B12" s="22" t="s">
        <v>367</v>
      </c>
      <c r="C12" s="16" t="s">
        <v>243</v>
      </c>
      <c r="D12" s="27" t="n">
        <v>15</v>
      </c>
      <c r="E12" s="27" t="n">
        <v>75</v>
      </c>
      <c r="F12" s="28" t="n">
        <f aca="false">(D12*3+E12*1)/4</f>
        <v>30</v>
      </c>
      <c r="G12" s="29" t="n">
        <f aca="false">F12*0.5</f>
        <v>15</v>
      </c>
    </row>
    <row r="13" customFormat="false" ht="21.75" hidden="false" customHeight="true" outlineLevel="0" collapsed="false">
      <c r="A13" s="15" t="s">
        <v>370</v>
      </c>
      <c r="B13" s="22" t="s">
        <v>371</v>
      </c>
      <c r="C13" s="16" t="s">
        <v>246</v>
      </c>
      <c r="D13" s="27" t="n">
        <v>0.72</v>
      </c>
      <c r="E13" s="27" t="n">
        <v>0.72</v>
      </c>
      <c r="F13" s="28" t="n">
        <f aca="false">(D13*3+E13*1)/4</f>
        <v>0.72</v>
      </c>
      <c r="G13" s="29" t="n">
        <f aca="false">F13*0.5</f>
        <v>0.36</v>
      </c>
    </row>
    <row r="14" customFormat="false" ht="21.75" hidden="false" customHeight="true" outlineLevel="0" collapsed="false">
      <c r="A14" s="15" t="s">
        <v>372</v>
      </c>
      <c r="B14" s="22" t="s">
        <v>371</v>
      </c>
      <c r="C14" s="16" t="s">
        <v>246</v>
      </c>
      <c r="D14" s="27" t="n">
        <v>0.15</v>
      </c>
      <c r="E14" s="27" t="n">
        <v>0.6</v>
      </c>
      <c r="F14" s="28" t="n">
        <f aca="false">(D14*3+E14*1)/4</f>
        <v>0.2625</v>
      </c>
      <c r="G14" s="29" t="n">
        <f aca="false">F14*0.5</f>
        <v>0.13125</v>
      </c>
    </row>
    <row r="15" customFormat="false" ht="21.75" hidden="false" customHeight="true" outlineLevel="0" collapsed="false">
      <c r="A15" s="15" t="s">
        <v>373</v>
      </c>
      <c r="B15" s="22" t="s">
        <v>371</v>
      </c>
      <c r="C15" s="16" t="s">
        <v>243</v>
      </c>
      <c r="D15" s="27" t="n">
        <v>0.27</v>
      </c>
      <c r="E15" s="27" t="n">
        <v>0.85</v>
      </c>
      <c r="F15" s="28" t="n">
        <f aca="false">(D15*3+E15*1)/4</f>
        <v>0.415</v>
      </c>
      <c r="G15" s="29" t="n">
        <f aca="false">F15*0.5</f>
        <v>0.2075</v>
      </c>
    </row>
    <row r="16" customFormat="false" ht="21.75" hidden="false" customHeight="true" outlineLevel="0" collapsed="false">
      <c r="A16" s="15" t="s">
        <v>374</v>
      </c>
      <c r="B16" s="22" t="s">
        <v>375</v>
      </c>
      <c r="C16" s="16" t="s">
        <v>243</v>
      </c>
      <c r="D16" s="27" t="n">
        <v>2</v>
      </c>
      <c r="E16" s="27" t="n">
        <v>6</v>
      </c>
      <c r="F16" s="28" t="n">
        <f aca="false">(D16*3+E16*1)/4</f>
        <v>3</v>
      </c>
      <c r="G16" s="29" t="n">
        <f aca="false">F16*0.5</f>
        <v>1.5</v>
      </c>
    </row>
    <row r="17" customFormat="false" ht="21.75" hidden="false" customHeight="true" outlineLevel="0" collapsed="false">
      <c r="A17" s="15" t="s">
        <v>376</v>
      </c>
      <c r="B17" s="22" t="s">
        <v>375</v>
      </c>
      <c r="C17" s="16" t="s">
        <v>237</v>
      </c>
      <c r="D17" s="27" t="n">
        <v>0.2</v>
      </c>
      <c r="E17" s="27" t="n">
        <v>0.6</v>
      </c>
      <c r="F17" s="28" t="n">
        <f aca="false">(D17*3+E17*1)/4</f>
        <v>0.3</v>
      </c>
      <c r="G17" s="29" t="n">
        <f aca="false">F17*0.5</f>
        <v>0.15</v>
      </c>
    </row>
    <row r="18" customFormat="false" ht="21.75" hidden="false" customHeight="true" outlineLevel="0" collapsed="false">
      <c r="A18" s="15" t="s">
        <v>377</v>
      </c>
      <c r="B18" s="22" t="s">
        <v>378</v>
      </c>
      <c r="C18" s="16" t="s">
        <v>243</v>
      </c>
      <c r="D18" s="27" t="n">
        <v>0.27</v>
      </c>
      <c r="E18" s="27" t="n">
        <v>0.87</v>
      </c>
      <c r="F18" s="28" t="n">
        <f aca="false">(D18*3+E18*1)/4</f>
        <v>0.42</v>
      </c>
      <c r="G18" s="29" t="n">
        <f aca="false">F18*0.5</f>
        <v>0.21</v>
      </c>
    </row>
    <row r="19" customFormat="false" ht="21.75" hidden="false" customHeight="true" outlineLevel="0" collapsed="false">
      <c r="A19" s="15" t="s">
        <v>379</v>
      </c>
      <c r="B19" s="22" t="s">
        <v>380</v>
      </c>
      <c r="C19" s="16" t="s">
        <v>246</v>
      </c>
      <c r="D19" s="27" t="n">
        <v>2.5</v>
      </c>
      <c r="E19" s="27" t="n">
        <v>10</v>
      </c>
      <c r="F19" s="28" t="n">
        <f aca="false">(D19*3+E19*1)/4</f>
        <v>4.375</v>
      </c>
      <c r="G19" s="29" t="n">
        <f aca="false">F19*0.5</f>
        <v>2.1875</v>
      </c>
    </row>
    <row r="20" customFormat="false" ht="21.75" hidden="false" customHeight="true" outlineLevel="0" collapsed="false">
      <c r="A20" s="15" t="s">
        <v>381</v>
      </c>
      <c r="B20" s="22" t="s">
        <v>382</v>
      </c>
      <c r="C20" s="16" t="s">
        <v>246</v>
      </c>
      <c r="D20" s="27" t="n">
        <v>2</v>
      </c>
      <c r="E20" s="27" t="n">
        <v>8</v>
      </c>
      <c r="F20" s="28" t="n">
        <f aca="false">(D20*3+E20*1)/4</f>
        <v>3.5</v>
      </c>
      <c r="G20" s="29" t="n">
        <f aca="false">F20*0.5</f>
        <v>1.75</v>
      </c>
    </row>
    <row r="24" customFormat="false" ht="17.35" hidden="false" customHeight="false" outlineLevel="0" collapsed="false">
      <c r="A24" s="18" t="s">
        <v>383</v>
      </c>
    </row>
    <row r="26" customFormat="false" ht="15" hidden="false" customHeight="false" outlineLevel="0" collapsed="false">
      <c r="A26" s="30" t="s">
        <v>384</v>
      </c>
      <c r="B26" s="31" t="n">
        <v>2000</v>
      </c>
    </row>
    <row r="27" customFormat="false" ht="15" hidden="false" customHeight="false" outlineLevel="0" collapsed="false">
      <c r="A27" s="30" t="s">
        <v>385</v>
      </c>
      <c r="B27" s="31" t="n">
        <v>500</v>
      </c>
    </row>
    <row r="28" customFormat="false" ht="15" hidden="false" customHeight="false" outlineLevel="0" collapsed="false">
      <c r="A28" s="30" t="s">
        <v>386</v>
      </c>
      <c r="B28" s="31" t="n">
        <v>10000</v>
      </c>
    </row>
    <row r="29" customFormat="false" ht="15" hidden="false" customHeight="false" outlineLevel="0" collapsed="false">
      <c r="A29" s="30" t="s">
        <v>387</v>
      </c>
      <c r="B29" s="31" t="n">
        <v>22</v>
      </c>
    </row>
    <row r="30" customFormat="false" ht="15" hidden="false" customHeight="false" outlineLevel="0" collapsed="false">
      <c r="A30" s="30" t="s">
        <v>388</v>
      </c>
      <c r="B30" s="31" t="n">
        <v>4</v>
      </c>
    </row>
    <row r="33" customFormat="false" ht="17.35" hidden="false" customHeight="false" outlineLevel="0" collapsed="false">
      <c r="A33" s="18" t="s">
        <v>389</v>
      </c>
    </row>
    <row r="35" customFormat="false" ht="24" hidden="false" customHeight="true" outlineLevel="0" collapsed="false">
      <c r="A35" s="3" t="s">
        <v>355</v>
      </c>
      <c r="B35" s="3" t="s">
        <v>390</v>
      </c>
      <c r="C35" s="3" t="s">
        <v>391</v>
      </c>
      <c r="D35" s="3" t="s">
        <v>392</v>
      </c>
      <c r="E35" s="3" t="s">
        <v>393</v>
      </c>
    </row>
    <row r="36" customFormat="false" ht="21.75" hidden="false" customHeight="true" outlineLevel="0" collapsed="false">
      <c r="A36" s="15" t="str">
        <f aca="false">A7</f>
        <v>Amazon Nova Micro</v>
      </c>
      <c r="B36" s="32" t="n">
        <f aca="false">B26*B28*B29*B30</f>
        <v>1760000000</v>
      </c>
      <c r="C36" s="32" t="n">
        <f aca="false">B27*B28*B29*B30</f>
        <v>440000000</v>
      </c>
      <c r="D36" s="33" t="n">
        <f aca="false">B36/1000000*D7+C36/1000000*E7</f>
        <v>123.2</v>
      </c>
      <c r="E36" s="34" t="n">
        <f aca="false">IF((B36/1000000*D7+C36/1000000*E7)=0,0,D36/(B36/1000000*D7+C36/1000000*E7))</f>
        <v>1</v>
      </c>
    </row>
    <row r="37" customFormat="false" ht="21.75" hidden="false" customHeight="true" outlineLevel="0" collapsed="false">
      <c r="A37" s="15" t="str">
        <f aca="false">A8</f>
        <v>Amazon Nova Lite</v>
      </c>
      <c r="B37" s="32" t="n">
        <f aca="false">B26*B28*B29*B30</f>
        <v>1760000000</v>
      </c>
      <c r="C37" s="32" t="n">
        <f aca="false">B27*B28*B29*B30</f>
        <v>440000000</v>
      </c>
      <c r="D37" s="33" t="n">
        <f aca="false">B37/1000000*D8+C37/1000000*E8</f>
        <v>211.2</v>
      </c>
      <c r="E37" s="34" t="n">
        <f aca="false">IF((B37/1000000*D7+C37/1000000*E7)=0,0,D37/(B37/1000000*D7+C37/1000000*E7))</f>
        <v>1.71428571428571</v>
      </c>
    </row>
    <row r="38" customFormat="false" ht="21.75" hidden="false" customHeight="true" outlineLevel="0" collapsed="false">
      <c r="A38" s="15" t="str">
        <f aca="false">A9</f>
        <v>Amazon Nova Pro</v>
      </c>
      <c r="B38" s="32" t="n">
        <f aca="false">B26*B28*B29*B30</f>
        <v>1760000000</v>
      </c>
      <c r="C38" s="32" t="n">
        <f aca="false">B27*B28*B29*B30</f>
        <v>440000000</v>
      </c>
      <c r="D38" s="33" t="n">
        <f aca="false">B38/1000000*D9+C38/1000000*E9</f>
        <v>2816</v>
      </c>
      <c r="E38" s="34" t="n">
        <f aca="false">IF((B38/1000000*D7+C38/1000000*E7)=0,0,D38/(B38/1000000*D7+C38/1000000*E7))</f>
        <v>22.8571428571429</v>
      </c>
    </row>
    <row r="39" customFormat="false" ht="21.75" hidden="false" customHeight="true" outlineLevel="0" collapsed="false">
      <c r="A39" s="15" t="str">
        <f aca="false">A10</f>
        <v>Claude Haiku 4.5</v>
      </c>
      <c r="B39" s="32" t="n">
        <f aca="false">B26*B28*B29*B30</f>
        <v>1760000000</v>
      </c>
      <c r="C39" s="32" t="n">
        <f aca="false">B27*B28*B29*B30</f>
        <v>440000000</v>
      </c>
      <c r="D39" s="33" t="n">
        <f aca="false">B39/1000000*D10+C39/1000000*E10</f>
        <v>3960</v>
      </c>
      <c r="E39" s="34" t="n">
        <f aca="false">IF((B39/1000000*D7+C39/1000000*E7)=0,0,D39/(B39/1000000*D7+C39/1000000*E7))</f>
        <v>32.1428571428571</v>
      </c>
    </row>
    <row r="40" customFormat="false" ht="21.75" hidden="false" customHeight="true" outlineLevel="0" collapsed="false">
      <c r="A40" s="15" t="str">
        <f aca="false">A11</f>
        <v>Claude Sonnet 4.6</v>
      </c>
      <c r="B40" s="32" t="n">
        <f aca="false">B26*B28*B29*B30</f>
        <v>1760000000</v>
      </c>
      <c r="C40" s="32" t="n">
        <f aca="false">B27*B28*B29*B30</f>
        <v>440000000</v>
      </c>
      <c r="D40" s="33" t="n">
        <f aca="false">B40/1000000*D11+C40/1000000*E11</f>
        <v>11880</v>
      </c>
      <c r="E40" s="34" t="n">
        <f aca="false">IF((B40/1000000*D7+C40/1000000*E7)=0,0,D40/(B40/1000000*D7+C40/1000000*E7))</f>
        <v>96.4285714285714</v>
      </c>
    </row>
    <row r="41" customFormat="false" ht="21.75" hidden="false" customHeight="true" outlineLevel="0" collapsed="false">
      <c r="A41" s="15" t="str">
        <f aca="false">A12</f>
        <v>Claude Opus 4.7</v>
      </c>
      <c r="B41" s="32" t="n">
        <f aca="false">B26*B28*B29*B30</f>
        <v>1760000000</v>
      </c>
      <c r="C41" s="32" t="n">
        <f aca="false">B27*B28*B29*B30</f>
        <v>440000000</v>
      </c>
      <c r="D41" s="33" t="n">
        <f aca="false">B41/1000000*D12+C41/1000000*E12</f>
        <v>59400</v>
      </c>
      <c r="E41" s="34" t="n">
        <f aca="false">IF((B41/1000000*D7+C41/1000000*E7)=0,0,D41/(B41/1000000*D7+C41/1000000*E7))</f>
        <v>482.142857142857</v>
      </c>
    </row>
    <row r="42" customFormat="false" ht="21.75" hidden="false" customHeight="true" outlineLevel="0" collapsed="false">
      <c r="A42" s="15" t="str">
        <f aca="false">A13</f>
        <v>Llama 3.3 70B</v>
      </c>
      <c r="B42" s="32" t="n">
        <f aca="false">B26*B28*B29*B30</f>
        <v>1760000000</v>
      </c>
      <c r="C42" s="32" t="n">
        <f aca="false">B27*B28*B29*B30</f>
        <v>440000000</v>
      </c>
      <c r="D42" s="33" t="n">
        <f aca="false">B42/1000000*D13+C42/1000000*E13</f>
        <v>1584</v>
      </c>
      <c r="E42" s="34" t="n">
        <f aca="false">IF((B42/1000000*D7+C42/1000000*E7)=0,0,D42/(B42/1000000*D7+C42/1000000*E7))</f>
        <v>12.8571428571429</v>
      </c>
    </row>
    <row r="43" customFormat="false" ht="21.75" hidden="false" customHeight="true" outlineLevel="0" collapsed="false">
      <c r="A43" s="15" t="str">
        <f aca="false">A14</f>
        <v>Llama 4 Scout (17B active)</v>
      </c>
      <c r="B43" s="32" t="n">
        <f aca="false">B26*B28*B29*B30</f>
        <v>1760000000</v>
      </c>
      <c r="C43" s="32" t="n">
        <f aca="false">B27*B28*B29*B30</f>
        <v>440000000</v>
      </c>
      <c r="D43" s="33" t="n">
        <f aca="false">B43/1000000*D14+C43/1000000*E14</f>
        <v>528</v>
      </c>
      <c r="E43" s="34" t="n">
        <f aca="false">IF((B43/1000000*D7+C43/1000000*E7)=0,0,D43/(B43/1000000*D7+C43/1000000*E7))</f>
        <v>4.28571428571429</v>
      </c>
    </row>
    <row r="44" customFormat="false" ht="21.75" hidden="false" customHeight="true" outlineLevel="0" collapsed="false">
      <c r="A44" s="15" t="str">
        <f aca="false">A15</f>
        <v>Llama 4 Maverick</v>
      </c>
      <c r="B44" s="32" t="n">
        <f aca="false">B26*B28*B29*B30</f>
        <v>1760000000</v>
      </c>
      <c r="C44" s="32" t="n">
        <f aca="false">B27*B28*B29*B30</f>
        <v>440000000</v>
      </c>
      <c r="D44" s="33" t="n">
        <f aca="false">B44/1000000*D15+C44/1000000*E15</f>
        <v>849.2</v>
      </c>
      <c r="E44" s="34" t="n">
        <f aca="false">IF((B44/1000000*D7+C44/1000000*E7)=0,0,D44/(B44/1000000*D7+C44/1000000*E7))</f>
        <v>6.89285714285714</v>
      </c>
    </row>
    <row r="45" customFormat="false" ht="21.75" hidden="false" customHeight="true" outlineLevel="0" collapsed="false">
      <c r="A45" s="15" t="str">
        <f aca="false">A16</f>
        <v>Mistral Large 2</v>
      </c>
      <c r="B45" s="32" t="n">
        <f aca="false">B26*B28*B29*B30</f>
        <v>1760000000</v>
      </c>
      <c r="C45" s="32" t="n">
        <f aca="false">B27*B28*B29*B30</f>
        <v>440000000</v>
      </c>
      <c r="D45" s="33" t="n">
        <f aca="false">B45/1000000*D16+C45/1000000*E16</f>
        <v>6160</v>
      </c>
      <c r="E45" s="34" t="n">
        <f aca="false">IF((B45/1000000*D7+C45/1000000*E7)=0,0,D45/(B45/1000000*D7+C45/1000000*E7))</f>
        <v>50</v>
      </c>
    </row>
    <row r="46" customFormat="false" ht="21.75" hidden="false" customHeight="true" outlineLevel="0" collapsed="false">
      <c r="A46" s="15" t="str">
        <f aca="false">A17</f>
        <v>Mistral Small 3.1</v>
      </c>
      <c r="B46" s="32" t="n">
        <f aca="false">B26*B28*B29*B30</f>
        <v>1760000000</v>
      </c>
      <c r="C46" s="32" t="n">
        <f aca="false">B27*B28*B29*B30</f>
        <v>440000000</v>
      </c>
      <c r="D46" s="33" t="n">
        <f aca="false">B46/1000000*D17+C46/1000000*E17</f>
        <v>616</v>
      </c>
      <c r="E46" s="34" t="n">
        <f aca="false">IF((B46/1000000*D7+C46/1000000*E7)=0,0,D46/(B46/1000000*D7+C46/1000000*E7))</f>
        <v>5</v>
      </c>
    </row>
    <row r="47" customFormat="false" ht="21.75" hidden="false" customHeight="true" outlineLevel="0" collapsed="false">
      <c r="A47" s="15" t="str">
        <f aca="false">A18</f>
        <v>DeepSeek V4 Pro</v>
      </c>
      <c r="B47" s="32" t="n">
        <f aca="false">B26*B28*B29*B30</f>
        <v>1760000000</v>
      </c>
      <c r="C47" s="32" t="n">
        <f aca="false">B27*B28*B29*B30</f>
        <v>440000000</v>
      </c>
      <c r="D47" s="33" t="n">
        <f aca="false">B47/1000000*D18+C47/1000000*E18</f>
        <v>858</v>
      </c>
      <c r="E47" s="34" t="n">
        <f aca="false">IF((B47/1000000*D7+C47/1000000*E7)=0,0,D47/(B47/1000000*D7+C47/1000000*E7))</f>
        <v>6.96428571428571</v>
      </c>
    </row>
    <row r="48" customFormat="false" ht="21.75" hidden="false" customHeight="true" outlineLevel="0" collapsed="false">
      <c r="A48" s="15" t="str">
        <f aca="false">A19</f>
        <v>Cohere Command R+</v>
      </c>
      <c r="B48" s="32" t="n">
        <f aca="false">B26*B28*B29*B30</f>
        <v>1760000000</v>
      </c>
      <c r="C48" s="32" t="n">
        <f aca="false">B27*B28*B29*B30</f>
        <v>440000000</v>
      </c>
      <c r="D48" s="33" t="n">
        <f aca="false">B48/1000000*D19+C48/1000000*E19</f>
        <v>8800</v>
      </c>
      <c r="E48" s="34" t="n">
        <f aca="false">IF((B48/1000000*D7+C48/1000000*E7)=0,0,D48/(B48/1000000*D7+C48/1000000*E7))</f>
        <v>71.4285714285714</v>
      </c>
    </row>
    <row r="49" customFormat="false" ht="21.75" hidden="false" customHeight="true" outlineLevel="0" collapsed="false">
      <c r="A49" s="15" t="str">
        <f aca="false">A20</f>
        <v>AI21 Jamba 1.5 Large</v>
      </c>
      <c r="B49" s="32" t="n">
        <f aca="false">B26*B28*B29*B30</f>
        <v>1760000000</v>
      </c>
      <c r="C49" s="32" t="n">
        <f aca="false">B27*B28*B29*B30</f>
        <v>440000000</v>
      </c>
      <c r="D49" s="33" t="n">
        <f aca="false">B49/1000000*D20+C49/1000000*E20</f>
        <v>7040</v>
      </c>
      <c r="E49" s="34" t="n">
        <f aca="false">IF((B49/1000000*D7+C49/1000000*E7)=0,0,D49/(B49/1000000*D7+C49/1000000*E7))</f>
        <v>57.1428571428571</v>
      </c>
    </row>
    <row r="52" customFormat="false" ht="15" hidden="false" customHeight="false" outlineLevel="0" collapsed="false">
      <c r="A52" s="35" t="s">
        <v>394</v>
      </c>
      <c r="B52" s="36" t="n">
        <f aca="false">INDEX(D36:D49,6)/INDEX(D36:D49,1)</f>
        <v>482.142857142857</v>
      </c>
    </row>
    <row r="53" customFormat="false" ht="15" hidden="false" customHeight="false" outlineLevel="0" collapsed="false">
      <c r="A53" s="35" t="s">
        <v>395</v>
      </c>
      <c r="B53" s="37" t="n">
        <f aca="false">INDEX(D36:D49,5)-INDEX(D36:D49,3)</f>
        <v>9064</v>
      </c>
    </row>
    <row r="54" customFormat="false" ht="15" hidden="false" customHeight="false" outlineLevel="0" collapsed="false">
      <c r="A54" s="35" t="s">
        <v>396</v>
      </c>
      <c r="B54" s="37" t="n">
        <f aca="false">MIN(D36:D49)</f>
        <v>123.2</v>
      </c>
    </row>
    <row r="55" customFormat="false" ht="15" hidden="false" customHeight="false" outlineLevel="0" collapsed="false">
      <c r="A55" s="35" t="s">
        <v>397</v>
      </c>
      <c r="B55" s="37" t="n">
        <f aca="false">MAX(D36:D49)</f>
        <v>59400</v>
      </c>
    </row>
    <row r="58" customFormat="false" ht="49.5" hidden="false" customHeight="true" outlineLevel="0" collapsed="false">
      <c r="A58" s="38" t="s">
        <v>398</v>
      </c>
      <c r="B58" s="38"/>
      <c r="C58" s="38"/>
      <c r="D58" s="38"/>
      <c r="E58" s="38"/>
      <c r="F58" s="38"/>
      <c r="G58" s="38"/>
    </row>
  </sheetData>
  <mergeCells count="1">
    <mergeCell ref="A58:G58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2026-05-12T04:29:30Z</dcterms:created>
  <dc:creator>openpyxl</dc:creator>
  <dc:description/>
  <dc:language>en-US</dc:language>
  <cp:lastModifiedBy/>
  <dcterms:modified xsi:type="dcterms:W3CDTF">2026-05-12T04:29:30Z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