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ines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B45309"/>
      <sz val="9"/>
    </font>
    <font>
      <name val="Calibri"/>
      <charset val="1"/>
      <family val="0"/>
      <b val="1"/>
      <color rgb="FF0F172A"/>
      <sz val="20"/>
    </font>
    <font>
      <name val="Calibri"/>
      <charset val="1"/>
      <family val="0"/>
      <i val="1"/>
      <color rgb="FF64748B"/>
      <sz val="11"/>
    </font>
    <font>
      <name val="Calibri"/>
      <charset val="1"/>
      <family val="0"/>
      <b val="1"/>
      <color rgb="FF64748B"/>
      <sz val="10"/>
    </font>
    <font>
      <name val="Calibri"/>
      <charset val="1"/>
      <family val="0"/>
      <b val="1"/>
      <color rgb="FF0F172A"/>
      <sz val="11"/>
    </font>
    <font>
      <name val="Calibri"/>
      <charset val="1"/>
      <family val="0"/>
      <color rgb="FF0F172A"/>
      <sz val="11"/>
    </font>
    <font>
      <name val="Calibri"/>
      <charset val="1"/>
      <family val="0"/>
      <b val="1"/>
      <color rgb="FF1E40AF"/>
      <sz val="11"/>
    </font>
    <font>
      <name val="Calibri"/>
      <charset val="1"/>
      <family val="0"/>
      <b val="1"/>
      <color rgb="FF0F172A"/>
      <sz val="28"/>
    </font>
    <font>
      <name val="Calibri"/>
      <charset val="1"/>
      <family val="0"/>
      <b val="1"/>
      <color rgb="FFB45309"/>
      <sz val="14"/>
    </font>
    <font>
      <name val="Calibri"/>
      <charset val="1"/>
      <family val="0"/>
      <i val="1"/>
      <color rgb="FF94A3B8"/>
      <sz val="9"/>
    </font>
  </fonts>
  <fills count="4">
    <fill>
      <patternFill/>
    </fill>
    <fill>
      <patternFill patternType="gray125"/>
    </fill>
    <fill>
      <patternFill patternType="solid">
        <fgColor rgb="FFF8FAFC"/>
        <bgColor rgb="FFFEF3C7"/>
      </patternFill>
    </fill>
    <fill>
      <patternFill patternType="solid">
        <fgColor rgb="FFFEF3C7"/>
        <bgColor rgb="FFFEE2E2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2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 indent="1"/>
    </xf>
    <xf numFmtId="0" fontId="9" fillId="0" borderId="2" applyAlignment="1" pivotButton="0" quotePrefix="0" xfId="0">
      <alignment horizontal="left" vertical="center" wrapText="1" indent="1"/>
    </xf>
    <xf numFmtId="0" fontId="10" fillId="3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general" vertical="bottom"/>
    </xf>
    <xf numFmtId="0" fontId="12" fillId="3" borderId="0" applyAlignment="1" pivotButton="0" quotePrefix="0" xfId="0">
      <alignment horizontal="left" vertical="center" wrapText="1" indent="1"/>
    </xf>
    <xf numFmtId="0" fontId="12" fillId="0" borderId="0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left" vertical="center" wrapText="1" indent="1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2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 indent="1"/>
    </xf>
    <xf numFmtId="0" fontId="9" fillId="0" borderId="2" applyAlignment="1" pivotButton="0" quotePrefix="0" xfId="0">
      <alignment horizontal="left" vertical="center" wrapText="1" indent="1"/>
    </xf>
    <xf numFmtId="0" fontId="10" fillId="3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general" vertical="bottom"/>
    </xf>
    <xf numFmtId="0" fontId="12" fillId="3" borderId="0" applyAlignment="1" pivotButton="0" quotePrefix="0" xfId="0">
      <alignment horizontal="left" vertical="center" wrapText="1" indent="1"/>
    </xf>
    <xf numFmtId="0" fontId="12" fillId="0" borderId="0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left" vertical="center" wrapText="1" indent="1"/>
    </xf>
    <xf numFmtId="0" fontId="13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b val="1"/>
        <color rgb="FF047857"/>
      </font>
      <fill>
        <patternFill>
          <bgColor rgb="FFD1FAE5"/>
        </patternFill>
      </fill>
    </dxf>
    <dxf>
      <font>
        <b val="1"/>
        <color rgb="FFB91C1C"/>
      </font>
      <fill>
        <patternFill>
          <bgColor rgb="FFFEE2E2"/>
        </patternFill>
      </fill>
    </dxf>
  </dxfs>
  <colors>
    <indexedColors>
      <rgbColor rgb="FF000000"/>
      <rgbColor rgb="FFF8FAF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B45309"/>
      <rgbColor rgb="FFFEF3C7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4A3B8"/>
      <rgbColor rgb="FF003366"/>
      <rgbColor rgb="FF339966"/>
      <rgbColor rgb="FF0F172A"/>
      <rgbColor rgb="FF333300"/>
      <rgbColor rgb="FFB91C1C"/>
      <rgbColor rgb="FF993366"/>
      <rgbColor rgb="FF1E40AF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" min="1" max="1"/>
    <col width="22" customWidth="1" style="17" min="2" max="2"/>
    <col width="28" customWidth="1" style="17" min="3" max="3"/>
    <col width="10" customWidth="1" style="17" min="4" max="4"/>
    <col width="28" customWidth="1" style="17" min="5" max="5"/>
    <col width="10" customWidth="1" style="17" min="6" max="6"/>
    <col width="28" customWidth="1" style="17" min="7" max="7"/>
    <col width="10" customWidth="1" style="17" min="8" max="8"/>
    <col width="3" customWidth="1" style="17" min="9" max="9"/>
  </cols>
  <sheetData>
    <row r="1" ht="15" customHeight="1" s="18">
      <c r="A1" s="19" t="inlineStr">
        <is>
          <t>HALF 2   ·   6 × 3 READINESS CHECK</t>
        </is>
      </c>
    </row>
    <row r="2" ht="30" customHeight="1" s="18">
      <c r="A2" s="20" t="inlineStr">
        <is>
          <t>Eighteen gates. Yes or No.</t>
        </is>
      </c>
    </row>
    <row r="3" ht="18" customHeight="1" s="18">
      <c r="A3" s="21" t="inlineStr">
        <is>
          <t>For every failure pattern, three readiness checks. The live score and verdict reveal whether the agent is production-ready.</t>
        </is>
      </c>
    </row>
    <row r="4" ht="15" customHeight="1" s="18">
      <c r="A4" s="22" t="n"/>
      <c r="B4" s="22" t="n"/>
      <c r="C4" s="22" t="n"/>
      <c r="D4" s="22" t="n"/>
      <c r="E4" s="22" t="n"/>
      <c r="F4" s="22" t="n"/>
      <c r="G4" s="22" t="n"/>
      <c r="H4" s="22" t="n"/>
    </row>
    <row r="6" ht="21.75" customHeight="1" s="18">
      <c r="B6" s="23" t="inlineStr">
        <is>
          <t>Failure pattern</t>
        </is>
      </c>
      <c r="C6" s="23" t="inlineStr">
        <is>
          <t>Check 1</t>
        </is>
      </c>
      <c r="D6" s="23" t="inlineStr">
        <is>
          <t>Y/N</t>
        </is>
      </c>
      <c r="E6" s="23" t="inlineStr">
        <is>
          <t>Check 2</t>
        </is>
      </c>
      <c r="F6" s="23" t="inlineStr">
        <is>
          <t>Y/N</t>
        </is>
      </c>
      <c r="G6" s="23" t="inlineStr">
        <is>
          <t>Check 3</t>
        </is>
      </c>
      <c r="H6" s="23" t="inlineStr">
        <is>
          <t>Y/N</t>
        </is>
      </c>
    </row>
    <row r="7" ht="27.75" customHeight="1" s="18">
      <c r="B7" s="24" t="inlineStr">
        <is>
          <t>Looping</t>
        </is>
      </c>
      <c r="C7" s="25" t="inlineStr">
        <is>
          <t>Iteration cap defined?</t>
        </is>
      </c>
      <c r="D7" s="26" t="inlineStr">
        <is>
          <t>— ?</t>
        </is>
      </c>
      <c r="E7" s="25" t="inlineStr">
        <is>
          <t>Terminal state explicit?</t>
        </is>
      </c>
      <c r="F7" s="26" t="inlineStr">
        <is>
          <t>— ?</t>
        </is>
      </c>
      <c r="G7" s="25" t="inlineStr">
        <is>
          <t>Loop trace logged?</t>
        </is>
      </c>
      <c r="H7" s="26" t="inlineStr">
        <is>
          <t>— ?</t>
        </is>
      </c>
    </row>
    <row r="8" ht="27.75" customHeight="1" s="18">
      <c r="B8" s="24" t="inlineStr">
        <is>
          <t>Silent failure</t>
        </is>
      </c>
      <c r="C8" s="25" t="inlineStr">
        <is>
          <t>Tool result validated?</t>
        </is>
      </c>
      <c r="D8" s="26" t="inlineStr">
        <is>
          <t>— ?</t>
        </is>
      </c>
      <c r="E8" s="25" t="inlineStr">
        <is>
          <t>Error path tested?</t>
        </is>
      </c>
      <c r="F8" s="26" t="inlineStr">
        <is>
          <t>— ?</t>
        </is>
      </c>
      <c r="G8" s="25" t="inlineStr">
        <is>
          <t>Mismatch alarms set?</t>
        </is>
      </c>
      <c r="H8" s="26" t="inlineStr">
        <is>
          <t>— ?</t>
        </is>
      </c>
    </row>
    <row r="9" ht="27.75" customHeight="1" s="18">
      <c r="B9" s="24" t="inlineStr">
        <is>
          <t>Hallucinated step</t>
        </is>
      </c>
      <c r="C9" s="25" t="inlineStr">
        <is>
          <t>Tool allowlist enforced?</t>
        </is>
      </c>
      <c r="D9" s="26" t="inlineStr">
        <is>
          <t>— ?</t>
        </is>
      </c>
      <c r="E9" s="25" t="inlineStr">
        <is>
          <t>Schema strict-mode?</t>
        </is>
      </c>
      <c r="F9" s="26" t="inlineStr">
        <is>
          <t>— ?</t>
        </is>
      </c>
      <c r="G9" s="25" t="inlineStr">
        <is>
          <t>Trace verified post-run?</t>
        </is>
      </c>
      <c r="H9" s="26" t="inlineStr">
        <is>
          <t>— ?</t>
        </is>
      </c>
    </row>
    <row r="10" ht="27.75" customHeight="1" s="18">
      <c r="B10" s="24" t="inlineStr">
        <is>
          <t>Context poisoning</t>
        </is>
      </c>
      <c r="C10" s="25" t="inlineStr">
        <is>
          <t>Memory partition by user?</t>
        </is>
      </c>
      <c r="D10" s="26" t="inlineStr">
        <is>
          <t>— ?</t>
        </is>
      </c>
      <c r="E10" s="25" t="inlineStr">
        <is>
          <t>TTL on session memory?</t>
        </is>
      </c>
      <c r="F10" s="26" t="inlineStr">
        <is>
          <t>— ?</t>
        </is>
      </c>
      <c r="G10" s="25" t="inlineStr">
        <is>
          <t>Cross-session test exists?</t>
        </is>
      </c>
      <c r="H10" s="26" t="inlineStr">
        <is>
          <t>— ?</t>
        </is>
      </c>
    </row>
    <row r="11" ht="27.75" customHeight="1" s="18">
      <c r="B11" s="24" t="inlineStr">
        <is>
          <t>State drift</t>
        </is>
      </c>
      <c r="C11" s="25" t="inlineStr">
        <is>
          <t>State schema versioned?</t>
        </is>
      </c>
      <c r="D11" s="26" t="inlineStr">
        <is>
          <t>— ?</t>
        </is>
      </c>
      <c r="E11" s="25" t="inlineStr">
        <is>
          <t>Step idempotent?</t>
        </is>
      </c>
      <c r="F11" s="26" t="inlineStr">
        <is>
          <t>— ?</t>
        </is>
      </c>
      <c r="G11" s="25" t="inlineStr">
        <is>
          <t>Resume-from-checkpoint tested?</t>
        </is>
      </c>
      <c r="H11" s="26" t="inlineStr">
        <is>
          <t>— ?</t>
        </is>
      </c>
    </row>
    <row r="12" ht="27.75" customHeight="1" s="18">
      <c r="B12" s="24" t="inlineStr">
        <is>
          <t>Unsafe autonomy</t>
        </is>
      </c>
      <c r="C12" s="25" t="inlineStr">
        <is>
          <t>Approval gate before write?</t>
        </is>
      </c>
      <c r="D12" s="26" t="inlineStr">
        <is>
          <t>— ?</t>
        </is>
      </c>
      <c r="E12" s="25" t="inlineStr">
        <is>
          <t>Reversibility documented?</t>
        </is>
      </c>
      <c r="F12" s="26" t="inlineStr">
        <is>
          <t>— ?</t>
        </is>
      </c>
      <c r="G12" s="25" t="inlineStr">
        <is>
          <t>Override audit logged?</t>
        </is>
      </c>
      <c r="H12" s="26" t="inlineStr">
        <is>
          <t>— ?</t>
        </is>
      </c>
    </row>
    <row r="14" ht="21.75" customHeight="1" s="18">
      <c r="B14" s="27" t="inlineStr">
        <is>
          <t>READINESS SCORE</t>
        </is>
      </c>
    </row>
    <row r="15" ht="35.05" customHeight="1" s="18">
      <c r="B15" s="28" t="inlineStr">
        <is>
          <t>Yes count:</t>
        </is>
      </c>
      <c r="C15" s="29">
        <f>COUNTIF(D7:D12,"Yes")+COUNTIF(F7:F12,"Yes")+COUNTIF(H7:H12,"Yes")&amp;" / 18"</f>
        <v/>
      </c>
      <c r="E15" s="30" t="inlineStr">
        <is>
          <t>Verdict:</t>
        </is>
      </c>
      <c r="F15" s="31">
        <f>IF((COUNTIF(D7:D12,"— ?")+COUNTIF(F7:F12,"— ?")+COUNTIF(H7:H12,"— ?"))&gt;0,"Answer every gate to see verdict.",IF((COUNTIF(D7:D12,"Yes")+COUNTIF(F7:F12,"Yes")+COUNTIF(H7:H12,"Yes"))=18,"Production-ready on the failure-pattern axis.",IF((COUNTIF(D7:D12,"Yes")+COUNTIF(F7:F12,"Yes")+COUNTIF(H7:H12,"Yes"))&gt;=14,"Acceptable. Close the No gates before ship.","NOT production-ready. Every No is technical debt waiting to surface as an incident.")))</f>
        <v/>
      </c>
    </row>
    <row r="16" ht="18.65" customHeight="1" s="18">
      <c r="B16" s="28" t="inlineStr">
        <is>
          <t>No count:</t>
        </is>
      </c>
      <c r="C16" s="32">
        <f>COUNTIF(D7:D12,"No")+COUNTIF(F7:F12,"No")+COUNTIF(H7:H12,"No")&amp;" / 18"</f>
        <v/>
      </c>
    </row>
    <row r="17" ht="15" customHeight="1" s="18">
      <c r="B17" s="28" t="inlineStr">
        <is>
          <t>Unanswered:</t>
        </is>
      </c>
      <c r="C17" s="33">
        <f>COUNTIF(D7:D12,"— ?")+COUNTIF(F7:F12,"— ?")+COUNTIF(H7:H12,"— ?")&amp;" / 18"</f>
        <v/>
      </c>
    </row>
    <row r="19" ht="15" customHeight="1" s="18">
      <c r="B19" s="34" t="inlineStr">
        <is>
          <t>Score &lt; 14 of 18 is the threshold below which the agent ships with known incident risk on at least one failure pattern.</t>
        </is>
      </c>
    </row>
  </sheetData>
  <mergeCells count="6">
    <mergeCell ref="A3:H3"/>
    <mergeCell ref="C15:D15"/>
    <mergeCell ref="A2:H2"/>
    <mergeCell ref="A1:H1"/>
    <mergeCell ref="B19:H19"/>
    <mergeCell ref="F15:H17"/>
  </mergeCells>
  <conditionalFormatting sqref="D7">
    <cfRule type="expression" rank="0" priority="2" equalAverage="0" aboveAverage="0" dxfId="0" text="" percent="0" bottom="0">
      <formula>D7="Yes"</formula>
    </cfRule>
    <cfRule type="expression" rank="0" priority="3" equalAverage="0" aboveAverage="0" dxfId="1" text="" percent="0" bottom="0">
      <formula>D7="No"</formula>
    </cfRule>
  </conditionalFormatting>
  <conditionalFormatting sqref="D8">
    <cfRule type="expression" rank="0" priority="4" equalAverage="0" aboveAverage="0" dxfId="0" text="" percent="0" bottom="0">
      <formula>D8="Yes"</formula>
    </cfRule>
    <cfRule type="expression" rank="0" priority="5" equalAverage="0" aboveAverage="0" dxfId="1" text="" percent="0" bottom="0">
      <formula>D8="No"</formula>
    </cfRule>
  </conditionalFormatting>
  <conditionalFormatting sqref="D9">
    <cfRule type="expression" rank="0" priority="6" equalAverage="0" aboveAverage="0" dxfId="0" text="" percent="0" bottom="0">
      <formula>D9="Yes"</formula>
    </cfRule>
    <cfRule type="expression" rank="0" priority="7" equalAverage="0" aboveAverage="0" dxfId="1" text="" percent="0" bottom="0">
      <formula>D9="No"</formula>
    </cfRule>
  </conditionalFormatting>
  <conditionalFormatting sqref="D10">
    <cfRule type="expression" rank="0" priority="8" equalAverage="0" aboveAverage="0" dxfId="0" text="" percent="0" bottom="0">
      <formula>D10="Yes"</formula>
    </cfRule>
    <cfRule type="expression" rank="0" priority="9" equalAverage="0" aboveAverage="0" dxfId="1" text="" percent="0" bottom="0">
      <formula>D10="No"</formula>
    </cfRule>
  </conditionalFormatting>
  <conditionalFormatting sqref="D11">
    <cfRule type="expression" rank="0" priority="10" equalAverage="0" aboveAverage="0" dxfId="0" text="" percent="0" bottom="0">
      <formula>D11="Yes"</formula>
    </cfRule>
    <cfRule type="expression" rank="0" priority="11" equalAverage="0" aboveAverage="0" dxfId="1" text="" percent="0" bottom="0">
      <formula>D11="No"</formula>
    </cfRule>
  </conditionalFormatting>
  <conditionalFormatting sqref="D12">
    <cfRule type="expression" rank="0" priority="12" equalAverage="0" aboveAverage="0" dxfId="0" text="" percent="0" bottom="0">
      <formula>D12="Yes"</formula>
    </cfRule>
    <cfRule type="expression" rank="0" priority="13" equalAverage="0" aboveAverage="0" dxfId="1" text="" percent="0" bottom="0">
      <formula>D12="No"</formula>
    </cfRule>
  </conditionalFormatting>
  <conditionalFormatting sqref="F7">
    <cfRule type="expression" rank="0" priority="14" equalAverage="0" aboveAverage="0" dxfId="0" text="" percent="0" bottom="0">
      <formula>F7="Yes"</formula>
    </cfRule>
    <cfRule type="expression" rank="0" priority="15" equalAverage="0" aboveAverage="0" dxfId="1" text="" percent="0" bottom="0">
      <formula>F7="No"</formula>
    </cfRule>
  </conditionalFormatting>
  <conditionalFormatting sqref="F8">
    <cfRule type="expression" rank="0" priority="16" equalAverage="0" aboveAverage="0" dxfId="0" text="" percent="0" bottom="0">
      <formula>F8="Yes"</formula>
    </cfRule>
    <cfRule type="expression" rank="0" priority="17" equalAverage="0" aboveAverage="0" dxfId="1" text="" percent="0" bottom="0">
      <formula>F8="No"</formula>
    </cfRule>
  </conditionalFormatting>
  <conditionalFormatting sqref="F9">
    <cfRule type="expression" rank="0" priority="18" equalAverage="0" aboveAverage="0" dxfId="0" text="" percent="0" bottom="0">
      <formula>F9="Yes"</formula>
    </cfRule>
    <cfRule type="expression" rank="0" priority="19" equalAverage="0" aboveAverage="0" dxfId="1" text="" percent="0" bottom="0">
      <formula>F9="No"</formula>
    </cfRule>
  </conditionalFormatting>
  <conditionalFormatting sqref="F10">
    <cfRule type="expression" rank="0" priority="20" equalAverage="0" aboveAverage="0" dxfId="0" text="" percent="0" bottom="0">
      <formula>F10="Yes"</formula>
    </cfRule>
    <cfRule type="expression" rank="0" priority="21" equalAverage="0" aboveAverage="0" dxfId="1" text="" percent="0" bottom="0">
      <formula>F10="No"</formula>
    </cfRule>
  </conditionalFormatting>
  <conditionalFormatting sqref="F11">
    <cfRule type="expression" rank="0" priority="22" equalAverage="0" aboveAverage="0" dxfId="0" text="" percent="0" bottom="0">
      <formula>F11="Yes"</formula>
    </cfRule>
    <cfRule type="expression" rank="0" priority="23" equalAverage="0" aboveAverage="0" dxfId="1" text="" percent="0" bottom="0">
      <formula>F11="No"</formula>
    </cfRule>
  </conditionalFormatting>
  <conditionalFormatting sqref="F12">
    <cfRule type="expression" rank="0" priority="24" equalAverage="0" aboveAverage="0" dxfId="0" text="" percent="0" bottom="0">
      <formula>F12="Yes"</formula>
    </cfRule>
    <cfRule type="expression" rank="0" priority="25" equalAverage="0" aboveAverage="0" dxfId="1" text="" percent="0" bottom="0">
      <formula>F12="No"</formula>
    </cfRule>
  </conditionalFormatting>
  <conditionalFormatting sqref="H7">
    <cfRule type="expression" rank="0" priority="26" equalAverage="0" aboveAverage="0" dxfId="0" text="" percent="0" bottom="0">
      <formula>H7="Yes"</formula>
    </cfRule>
    <cfRule type="expression" rank="0" priority="27" equalAverage="0" aboveAverage="0" dxfId="1" text="" percent="0" bottom="0">
      <formula>H7="No"</formula>
    </cfRule>
  </conditionalFormatting>
  <conditionalFormatting sqref="H8">
    <cfRule type="expression" rank="0" priority="28" equalAverage="0" aboveAverage="0" dxfId="0" text="" percent="0" bottom="0">
      <formula>H8="Yes"</formula>
    </cfRule>
    <cfRule type="expression" rank="0" priority="29" equalAverage="0" aboveAverage="0" dxfId="1" text="" percent="0" bottom="0">
      <formula>H8="No"</formula>
    </cfRule>
  </conditionalFormatting>
  <conditionalFormatting sqref="H9">
    <cfRule type="expression" rank="0" priority="30" equalAverage="0" aboveAverage="0" dxfId="0" text="" percent="0" bottom="0">
      <formula>H9="Yes"</formula>
    </cfRule>
    <cfRule type="expression" rank="0" priority="31" equalAverage="0" aboveAverage="0" dxfId="1" text="" percent="0" bottom="0">
      <formula>H9="No"</formula>
    </cfRule>
  </conditionalFormatting>
  <conditionalFormatting sqref="H10">
    <cfRule type="expression" rank="0" priority="32" equalAverage="0" aboveAverage="0" dxfId="0" text="" percent="0" bottom="0">
      <formula>H10="Yes"</formula>
    </cfRule>
    <cfRule type="expression" rank="0" priority="33" equalAverage="0" aboveAverage="0" dxfId="1" text="" percent="0" bottom="0">
      <formula>H10="No"</formula>
    </cfRule>
  </conditionalFormatting>
  <conditionalFormatting sqref="H11">
    <cfRule type="expression" rank="0" priority="34" equalAverage="0" aboveAverage="0" dxfId="0" text="" percent="0" bottom="0">
      <formula>H11="Yes"</formula>
    </cfRule>
    <cfRule type="expression" rank="0" priority="35" equalAverage="0" aboveAverage="0" dxfId="1" text="" percent="0" bottom="0">
      <formula>H11="No"</formula>
    </cfRule>
  </conditionalFormatting>
  <conditionalFormatting sqref="H12">
    <cfRule type="expression" rank="0" priority="36" equalAverage="0" aboveAverage="0" dxfId="0" text="" percent="0" bottom="0">
      <formula>H12="Yes"</formula>
    </cfRule>
    <cfRule type="expression" rank="0" priority="37" equalAverage="0" aboveAverage="0" dxfId="1" text="" percent="0" bottom="0">
      <formula>H12="No"</formula>
    </cfRule>
  </conditionalFormatting>
  <dataValidations count="18">
    <dataValidation sqref="D7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F7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H7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D8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F8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H8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D9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F9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H9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D10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F10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H10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D11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F11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H11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D12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F12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  <dataValidation sqref="H12" showDropDown="0" showInputMessage="0" showErrorMessage="0" allowBlank="0" errorTitle="Invalid choice" error="Pick from the dropdown." type="list" errorStyle="stop" operator="between">
      <formula1>"— ?,Yes,No"</formula1>
      <formula2>0</formula2>
    </dataValidation>
  </dataValidations>
  <printOptions horizontalCentered="0" verticalCentered="0" headings="0" gridLines="0" gridLinesSet="1"/>
  <pageMargins left="0.3" right="0.3" top="0.3" bottom="0.3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2026-05-11T03:53:09Z</dcterms:created>
  <dcterms:modified xmlns:dcterms="http://purl.org/dc/terms/" xmlns:xsi="http://www.w3.org/2001/XMLSchema-instance" xsi:type="dcterms:W3CDTF">2026-05-11T03:54:15Z</dcterms:modified>
  <cp:revision>0</cp:revision>
</cp:coreProperties>
</file>