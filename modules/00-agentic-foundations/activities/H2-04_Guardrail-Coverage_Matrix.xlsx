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B45309"/>
      <sz val="9"/>
    </font>
    <font>
      <name val="Calibri"/>
      <charset val="1"/>
      <family val="0"/>
      <b val="1"/>
      <color rgb="FF0F172A"/>
      <sz val="20"/>
    </font>
    <font>
      <name val="Calibri"/>
      <charset val="1"/>
      <family val="0"/>
      <i val="1"/>
      <color rgb="FF64748B"/>
      <sz val="11"/>
    </font>
    <font>
      <name val="Calibri"/>
      <charset val="1"/>
      <family val="0"/>
      <b val="1"/>
      <color rgb="FF64748B"/>
      <sz val="10"/>
    </font>
    <font>
      <name val="Calibri"/>
      <charset val="1"/>
      <family val="0"/>
      <color rgb="FF0F172A"/>
      <sz val="11"/>
    </font>
    <font>
      <name val="Calibri"/>
      <charset val="1"/>
      <family val="0"/>
      <b val="1"/>
      <color rgb="FF1E40AF"/>
      <sz val="11"/>
    </font>
    <font>
      <name val="Calibri"/>
      <charset val="1"/>
      <family val="0"/>
      <b val="1"/>
      <color rgb="FF0F172A"/>
      <sz val="11"/>
    </font>
    <font>
      <name val="Calibri"/>
      <charset val="1"/>
      <family val="0"/>
      <b val="1"/>
      <color rgb="FFB45309"/>
      <sz val="14"/>
    </font>
  </fonts>
  <fills count="4">
    <fill>
      <patternFill/>
    </fill>
    <fill>
      <patternFill patternType="gray125"/>
    </fill>
    <fill>
      <patternFill patternType="solid">
        <fgColor rgb="FFF8FAFC"/>
        <bgColor rgb="FFFEF3C7"/>
      </patternFill>
    </fill>
    <fill>
      <patternFill patternType="solid">
        <fgColor rgb="FFFEF3C7"/>
        <bgColor rgb="FFFEE2E2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1"/>
    </xf>
    <xf numFmtId="0" fontId="9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 wrapText="1" indent="1"/>
    </xf>
    <xf numFmtId="0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1"/>
    </xf>
    <xf numFmtId="0" fontId="9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 wrapText="1" indent="1"/>
    </xf>
    <xf numFmtId="0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B91C1C"/>
      </font>
      <fill>
        <patternFill>
          <bgColor rgb="FFFEE2E2"/>
        </patternFill>
      </fill>
    </dxf>
    <dxf>
      <font>
        <b val="1"/>
        <color rgb="FFB45309"/>
      </font>
      <fill>
        <patternFill>
          <bgColor rgb="FFFEF3C7"/>
        </patternFill>
      </fill>
    </dxf>
    <dxf>
      <font>
        <b val="1"/>
        <color rgb="FF047857"/>
      </font>
      <fill>
        <patternFill>
          <bgColor rgb="FFD1FAE5"/>
        </patternFill>
      </fill>
    </dxf>
  </dxf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B91C1C"/>
      <rgbColor rgb="FF993366"/>
      <rgbColor rgb="FF1E40AF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32" customWidth="1" style="15" min="2" max="2"/>
    <col width="14" customWidth="1" style="15" min="3" max="5"/>
    <col width="24" customWidth="1" style="15" min="6" max="6"/>
    <col width="3" customWidth="1" style="15" min="7" max="7"/>
  </cols>
  <sheetData>
    <row r="1" ht="15" customHeight="1" s="16">
      <c r="A1" s="17" t="inlineStr">
        <is>
          <t>HALF 2   ·   GUARDRAIL COVERAGE MATRIX</t>
        </is>
      </c>
    </row>
    <row r="2" ht="30" customHeight="1" s="16">
      <c r="A2" s="18" t="inlineStr">
        <is>
          <t>Three checkpoints × seven risk categories.</t>
        </is>
      </c>
    </row>
    <row r="3" ht="18" customHeight="1" s="16">
      <c r="A3" s="19" t="inlineStr">
        <is>
          <t>Mark which checkpoint covers which risk. The verdict tells you which risks are uncovered, partially covered, or layered correctly.</t>
        </is>
      </c>
    </row>
    <row r="4" ht="15" customHeight="1" s="16">
      <c r="A4" s="20" t="n"/>
      <c r="B4" s="20" t="n"/>
      <c r="C4" s="20" t="n"/>
      <c r="D4" s="20" t="n"/>
      <c r="E4" s="20" t="n"/>
      <c r="F4" s="20" t="n"/>
    </row>
    <row r="6" ht="21.75" customHeight="1" s="16">
      <c r="B6" s="21" t="inlineStr">
        <is>
          <t>Risk category</t>
        </is>
      </c>
      <c r="C6" s="21" t="inlineStr">
        <is>
          <t>Input</t>
        </is>
      </c>
      <c r="D6" s="21" t="inlineStr">
        <is>
          <t>Tool-level</t>
        </is>
      </c>
      <c r="E6" s="21" t="inlineStr">
        <is>
          <t>Output</t>
        </is>
      </c>
      <c r="F6" s="21" t="inlineStr">
        <is>
          <t>Coverage</t>
        </is>
      </c>
    </row>
    <row r="7" ht="25.5" customHeight="1" s="16">
      <c r="B7" s="22" t="inlineStr">
        <is>
          <t>PII disclosure</t>
        </is>
      </c>
      <c r="C7" s="23" t="inlineStr">
        <is>
          <t>— ?</t>
        </is>
      </c>
      <c r="D7" s="23" t="inlineStr">
        <is>
          <t>— ?</t>
        </is>
      </c>
      <c r="E7" s="23" t="inlineStr">
        <is>
          <t>— ?</t>
        </is>
      </c>
      <c r="F7" s="24">
        <f>IF(OR(C7="— ?",D7="— ?",E7="— ?"),"",IF(COUNTIF(C7:E7,"Yes")=0,"UNCOVERED",IF(COUNTIF(C7:E7,"Yes")=1,"Single layer",IF(COUNTIF(C7:E7,"Yes")=2,"Layered","Fully layered"))))</f>
        <v/>
      </c>
    </row>
    <row r="8" ht="25.5" customHeight="1" s="16">
      <c r="B8" s="22" t="inlineStr">
        <is>
          <t>Prompt injection</t>
        </is>
      </c>
      <c r="C8" s="23" t="inlineStr">
        <is>
          <t>— ?</t>
        </is>
      </c>
      <c r="D8" s="23" t="inlineStr">
        <is>
          <t>— ?</t>
        </is>
      </c>
      <c r="E8" s="23" t="inlineStr">
        <is>
          <t>— ?</t>
        </is>
      </c>
      <c r="F8" s="24">
        <f>IF(OR(C8="— ?",D8="— ?",E8="— ?"),"",IF(COUNTIF(C8:E8,"Yes")=0,"UNCOVERED",IF(COUNTIF(C8:E8,"Yes")=1,"Single layer",IF(COUNTIF(C8:E8,"Yes")=2,"Layered","Fully layered"))))</f>
        <v/>
      </c>
    </row>
    <row r="9" ht="25.5" customHeight="1" s="16">
      <c r="B9" s="22" t="inlineStr">
        <is>
          <t>Authorization (who can ask)</t>
        </is>
      </c>
      <c r="C9" s="23" t="inlineStr">
        <is>
          <t>— ?</t>
        </is>
      </c>
      <c r="D9" s="23" t="inlineStr">
        <is>
          <t>— ?</t>
        </is>
      </c>
      <c r="E9" s="23" t="inlineStr">
        <is>
          <t>— ?</t>
        </is>
      </c>
      <c r="F9" s="24">
        <f>IF(OR(C9="— ?",D9="— ?",E9="— ?"),"",IF(COUNTIF(C9:E9,"Yes")=0,"UNCOVERED",IF(COUNTIF(C9:E9,"Yes")=1,"Single layer",IF(COUNTIF(C9:E9,"Yes")=2,"Layered","Fully layered"))))</f>
        <v/>
      </c>
    </row>
    <row r="10" ht="25.5" customHeight="1" s="16">
      <c r="B10" s="22" t="inlineStr">
        <is>
          <t>Permission scope (what tool can touch)</t>
        </is>
      </c>
      <c r="C10" s="23" t="inlineStr">
        <is>
          <t>— ?</t>
        </is>
      </c>
      <c r="D10" s="23" t="inlineStr">
        <is>
          <t>— ?</t>
        </is>
      </c>
      <c r="E10" s="23" t="inlineStr">
        <is>
          <t>— ?</t>
        </is>
      </c>
      <c r="F10" s="24">
        <f>IF(OR(C10="— ?",D10="— ?",E10="— ?"),"",IF(COUNTIF(C10:E10,"Yes")=0,"UNCOVERED",IF(COUNTIF(C10:E10,"Yes")=1,"Single layer",IF(COUNTIF(C10:E10,"Yes")=2,"Layered","Fully layered"))))</f>
        <v/>
      </c>
    </row>
    <row r="11" ht="25.5" customHeight="1" s="16">
      <c r="B11" s="22" t="inlineStr">
        <is>
          <t>Rate limit / DDOS</t>
        </is>
      </c>
      <c r="C11" s="23" t="inlineStr">
        <is>
          <t>— ?</t>
        </is>
      </c>
      <c r="D11" s="23" t="inlineStr">
        <is>
          <t>— ?</t>
        </is>
      </c>
      <c r="E11" s="23" t="inlineStr">
        <is>
          <t>— ?</t>
        </is>
      </c>
      <c r="F11" s="24">
        <f>IF(OR(C11="— ?",D11="— ?",E11="— ?"),"",IF(COUNTIF(C11:E11,"Yes")=0,"UNCOVERED",IF(COUNTIF(C11:E11,"Yes")=1,"Single layer",IF(COUNTIF(C11:E11,"Yes")=2,"Layered","Fully layered"))))</f>
        <v/>
      </c>
    </row>
    <row r="12" ht="25.5" customHeight="1" s="16">
      <c r="B12" s="22" t="inlineStr">
        <is>
          <t>Hallucination / fabricated facts</t>
        </is>
      </c>
      <c r="C12" s="23" t="inlineStr">
        <is>
          <t>— ?</t>
        </is>
      </c>
      <c r="D12" s="23" t="inlineStr">
        <is>
          <t>— ?</t>
        </is>
      </c>
      <c r="E12" s="23" t="inlineStr">
        <is>
          <t>— ?</t>
        </is>
      </c>
      <c r="F12" s="24">
        <f>IF(OR(C12="— ?",D12="— ?",E12="— ?"),"",IF(COUNTIF(C12:E12,"Yes")=0,"UNCOVERED",IF(COUNTIF(C12:E12,"Yes")=1,"Single layer",IF(COUNTIF(C12:E12,"Yes")=2,"Layered","Fully layered"))))</f>
        <v/>
      </c>
    </row>
    <row r="13" ht="25.5" customHeight="1" s="16">
      <c r="B13" s="22" t="inlineStr">
        <is>
          <t>Destructive action (writes, refunds, deletions)</t>
        </is>
      </c>
      <c r="C13" s="23" t="inlineStr">
        <is>
          <t>— ?</t>
        </is>
      </c>
      <c r="D13" s="23" t="inlineStr">
        <is>
          <t>— ?</t>
        </is>
      </c>
      <c r="E13" s="23" t="inlineStr">
        <is>
          <t>— ?</t>
        </is>
      </c>
      <c r="F13" s="24">
        <f>IF(OR(C13="— ?",D13="— ?",E13="— ?"),"",IF(COUNTIF(C13:E13,"Yes")=0,"UNCOVERED",IF(COUNTIF(C13:E13,"Yes")=1,"Single layer",IF(COUNTIF(C13:E13,"Yes")=2,"Layered","Fully layered"))))</f>
        <v/>
      </c>
    </row>
    <row r="15" ht="15" customHeight="1" s="16">
      <c r="B15" s="25" t="inlineStr">
        <is>
          <t>COVERAGE SUMMARY</t>
        </is>
      </c>
    </row>
    <row r="16" ht="18.65" customHeight="1" s="16">
      <c r="B16" s="26" t="inlineStr">
        <is>
          <t>Risks fully covered:</t>
        </is>
      </c>
      <c r="C16" s="27">
        <f>COUNTIF(F7:F13,"Fully layered")&amp;" / 7"</f>
        <v/>
      </c>
    </row>
    <row r="17" ht="18.65" customHeight="1" s="16">
      <c r="B17" s="26" t="inlineStr">
        <is>
          <t>Risks uncovered (no checkpoint):</t>
        </is>
      </c>
      <c r="C17" s="27">
        <f>COUNTIF(F7:F13,"UNCOVERED")&amp;" / 7"</f>
        <v/>
      </c>
    </row>
    <row r="18" ht="27.75" customHeight="1" s="16">
      <c r="B18" s="28" t="inlineStr">
        <is>
          <t>Verdict:</t>
        </is>
      </c>
      <c r="C18" s="29">
        <f>IF(COUNTBLANK(F7:F13)&gt;0,"Mark every cell to see verdict.",IF(COUNTIF(F7:F13,"UNCOVERED")&gt;0,"You have uncovered risks. Each is an incident waiting to happen.",IF(COUNTIF(F7:F13,"Single layer")&gt;3,"Single-layer guardrails are brittle. Layer at least the high-blast-radius risks.","Defence is layered. Continue.")))</f>
        <v/>
      </c>
    </row>
    <row r="20" ht="15" customHeight="1" s="16">
      <c r="B20" s="25" t="inlineStr">
        <is>
          <t>REFERENCE — WHERE EACH RISK BELONGS</t>
        </is>
      </c>
    </row>
    <row r="21" ht="18" customHeight="1" s="16">
      <c r="B21" s="28" t="inlineStr">
        <is>
          <t>PII disclosure</t>
        </is>
      </c>
      <c r="C21" s="30" t="inlineStr">
        <is>
          <t>Input (detect) + Output (redact)</t>
        </is>
      </c>
    </row>
    <row r="22" ht="18" customHeight="1" s="16">
      <c r="B22" s="28" t="inlineStr">
        <is>
          <t>Prompt injection</t>
        </is>
      </c>
      <c r="C22" s="30" t="inlineStr">
        <is>
          <t>Input (detect) + Output (re-check)</t>
        </is>
      </c>
    </row>
    <row r="23" ht="18" customHeight="1" s="16">
      <c r="B23" s="28" t="inlineStr">
        <is>
          <t>Authorization</t>
        </is>
      </c>
      <c r="C23" s="30" t="inlineStr">
        <is>
          <t>Input (verify caller)</t>
        </is>
      </c>
    </row>
    <row r="24" ht="18" customHeight="1" s="16">
      <c r="B24" s="28" t="inlineStr">
        <is>
          <t>Permission scope</t>
        </is>
      </c>
      <c r="C24" s="30" t="inlineStr">
        <is>
          <t>Tool-level (gate per call)</t>
        </is>
      </c>
    </row>
    <row r="25" ht="18" customHeight="1" s="16">
      <c r="B25" s="28" t="inlineStr">
        <is>
          <t>Rate limit / DDOS</t>
        </is>
      </c>
      <c r="C25" s="30" t="inlineStr">
        <is>
          <t>Input + Tool-level</t>
        </is>
      </c>
    </row>
    <row r="26" ht="18" customHeight="1" s="16">
      <c r="B26" s="28" t="inlineStr">
        <is>
          <t>Hallucination</t>
        </is>
      </c>
      <c r="C26" s="30" t="inlineStr">
        <is>
          <t>Output (validate against schema, retrieved facts)</t>
        </is>
      </c>
    </row>
    <row r="27" ht="18" customHeight="1" s="16">
      <c r="B27" s="28" t="inlineStr">
        <is>
          <t>Destructive action</t>
        </is>
      </c>
      <c r="C27" s="30" t="inlineStr">
        <is>
          <t>Tool-level (HITL gate) + Output (confirm before user-visible claim)</t>
        </is>
      </c>
    </row>
  </sheetData>
  <mergeCells count="11">
    <mergeCell ref="C22:F22"/>
    <mergeCell ref="A2:F2"/>
    <mergeCell ref="C18:F18"/>
    <mergeCell ref="C23:F23"/>
    <mergeCell ref="A3:F3"/>
    <mergeCell ref="A1:F1"/>
    <mergeCell ref="C26:F26"/>
    <mergeCell ref="C21:F21"/>
    <mergeCell ref="C25:F25"/>
    <mergeCell ref="C27:F27"/>
    <mergeCell ref="C24:F24"/>
  </mergeCells>
  <conditionalFormatting sqref="F7">
    <cfRule type="expression" rank="0" priority="2" equalAverage="0" aboveAverage="0" dxfId="0" text="" percent="0" bottom="0">
      <formula>F7="UNCOVERED"</formula>
    </cfRule>
    <cfRule type="expression" rank="0" priority="3" equalAverage="0" aboveAverage="0" dxfId="1" text="" percent="0" bottom="0">
      <formula>F7="Single layer"</formula>
    </cfRule>
    <cfRule type="expression" rank="0" priority="4" equalAverage="0" aboveAverage="0" dxfId="2" text="" percent="0" bottom="0">
      <formula>OR(F7="Layered",F7="Fully layered")</formula>
    </cfRule>
  </conditionalFormatting>
  <conditionalFormatting sqref="C7">
    <cfRule type="expression" rank="0" priority="5" equalAverage="0" aboveAverage="0" dxfId="2" text="" percent="0" bottom="0">
      <formula>C7="Yes"</formula>
    </cfRule>
    <cfRule type="expression" rank="0" priority="6" equalAverage="0" aboveAverage="0" dxfId="0" text="" percent="0" bottom="0">
      <formula>C7="No"</formula>
    </cfRule>
  </conditionalFormatting>
  <conditionalFormatting sqref="D7">
    <cfRule type="expression" rank="0" priority="7" equalAverage="0" aboveAverage="0" dxfId="2" text="" percent="0" bottom="0">
      <formula>D7="Yes"</formula>
    </cfRule>
    <cfRule type="expression" rank="0" priority="8" equalAverage="0" aboveAverage="0" dxfId="0" text="" percent="0" bottom="0">
      <formula>D7="No"</formula>
    </cfRule>
  </conditionalFormatting>
  <conditionalFormatting sqref="E7">
    <cfRule type="expression" rank="0" priority="9" equalAverage="0" aboveAverage="0" dxfId="2" text="" percent="0" bottom="0">
      <formula>E7="Yes"</formula>
    </cfRule>
    <cfRule type="expression" rank="0" priority="10" equalAverage="0" aboveAverage="0" dxfId="0" text="" percent="0" bottom="0">
      <formula>E7="No"</formula>
    </cfRule>
  </conditionalFormatting>
  <conditionalFormatting sqref="F8">
    <cfRule type="expression" rank="0" priority="11" equalAverage="0" aboveAverage="0" dxfId="0" text="" percent="0" bottom="0">
      <formula>F8="UNCOVERED"</formula>
    </cfRule>
    <cfRule type="expression" rank="0" priority="12" equalAverage="0" aboveAverage="0" dxfId="1" text="" percent="0" bottom="0">
      <formula>F8="Single layer"</formula>
    </cfRule>
    <cfRule type="expression" rank="0" priority="13" equalAverage="0" aboveAverage="0" dxfId="2" text="" percent="0" bottom="0">
      <formula>OR(F8="Layered",F8="Fully layered")</formula>
    </cfRule>
  </conditionalFormatting>
  <conditionalFormatting sqref="C8">
    <cfRule type="expression" rank="0" priority="14" equalAverage="0" aboveAverage="0" dxfId="2" text="" percent="0" bottom="0">
      <formula>C8="Yes"</formula>
    </cfRule>
    <cfRule type="expression" rank="0" priority="15" equalAverage="0" aboveAverage="0" dxfId="0" text="" percent="0" bottom="0">
      <formula>C8="No"</formula>
    </cfRule>
  </conditionalFormatting>
  <conditionalFormatting sqref="D8">
    <cfRule type="expression" rank="0" priority="16" equalAverage="0" aboveAverage="0" dxfId="2" text="" percent="0" bottom="0">
      <formula>D8="Yes"</formula>
    </cfRule>
    <cfRule type="expression" rank="0" priority="17" equalAverage="0" aboveAverage="0" dxfId="0" text="" percent="0" bottom="0">
      <formula>D8="No"</formula>
    </cfRule>
  </conditionalFormatting>
  <conditionalFormatting sqref="E8">
    <cfRule type="expression" rank="0" priority="18" equalAverage="0" aboveAverage="0" dxfId="2" text="" percent="0" bottom="0">
      <formula>E8="Yes"</formula>
    </cfRule>
    <cfRule type="expression" rank="0" priority="19" equalAverage="0" aboveAverage="0" dxfId="0" text="" percent="0" bottom="0">
      <formula>E8="No"</formula>
    </cfRule>
  </conditionalFormatting>
  <conditionalFormatting sqref="F9">
    <cfRule type="expression" rank="0" priority="20" equalAverage="0" aboveAverage="0" dxfId="0" text="" percent="0" bottom="0">
      <formula>F9="UNCOVERED"</formula>
    </cfRule>
    <cfRule type="expression" rank="0" priority="21" equalAverage="0" aboveAverage="0" dxfId="1" text="" percent="0" bottom="0">
      <formula>F9="Single layer"</formula>
    </cfRule>
    <cfRule type="expression" rank="0" priority="22" equalAverage="0" aboveAverage="0" dxfId="2" text="" percent="0" bottom="0">
      <formula>OR(F9="Layered",F9="Fully layered")</formula>
    </cfRule>
  </conditionalFormatting>
  <conditionalFormatting sqref="C9">
    <cfRule type="expression" rank="0" priority="23" equalAverage="0" aboveAverage="0" dxfId="2" text="" percent="0" bottom="0">
      <formula>C9="Yes"</formula>
    </cfRule>
    <cfRule type="expression" rank="0" priority="24" equalAverage="0" aboveAverage="0" dxfId="0" text="" percent="0" bottom="0">
      <formula>C9="No"</formula>
    </cfRule>
  </conditionalFormatting>
  <conditionalFormatting sqref="D9">
    <cfRule type="expression" rank="0" priority="25" equalAverage="0" aboveAverage="0" dxfId="2" text="" percent="0" bottom="0">
      <formula>D9="Yes"</formula>
    </cfRule>
    <cfRule type="expression" rank="0" priority="26" equalAverage="0" aboveAverage="0" dxfId="0" text="" percent="0" bottom="0">
      <formula>D9="No"</formula>
    </cfRule>
  </conditionalFormatting>
  <conditionalFormatting sqref="E9">
    <cfRule type="expression" rank="0" priority="27" equalAverage="0" aboveAverage="0" dxfId="2" text="" percent="0" bottom="0">
      <formula>E9="Yes"</formula>
    </cfRule>
    <cfRule type="expression" rank="0" priority="28" equalAverage="0" aboveAverage="0" dxfId="0" text="" percent="0" bottom="0">
      <formula>E9="No"</formula>
    </cfRule>
  </conditionalFormatting>
  <conditionalFormatting sqref="F10">
    <cfRule type="expression" rank="0" priority="29" equalAverage="0" aboveAverage="0" dxfId="0" text="" percent="0" bottom="0">
      <formula>F10="UNCOVERED"</formula>
    </cfRule>
    <cfRule type="expression" rank="0" priority="30" equalAverage="0" aboveAverage="0" dxfId="1" text="" percent="0" bottom="0">
      <formula>F10="Single layer"</formula>
    </cfRule>
    <cfRule type="expression" rank="0" priority="31" equalAverage="0" aboveAverage="0" dxfId="2" text="" percent="0" bottom="0">
      <formula>OR(F10="Layered",F10="Fully layered")</formula>
    </cfRule>
  </conditionalFormatting>
  <conditionalFormatting sqref="C10">
    <cfRule type="expression" rank="0" priority="32" equalAverage="0" aboveAverage="0" dxfId="2" text="" percent="0" bottom="0">
      <formula>C10="Yes"</formula>
    </cfRule>
    <cfRule type="expression" rank="0" priority="33" equalAverage="0" aboveAverage="0" dxfId="0" text="" percent="0" bottom="0">
      <formula>C10="No"</formula>
    </cfRule>
  </conditionalFormatting>
  <conditionalFormatting sqref="D10">
    <cfRule type="expression" rank="0" priority="34" equalAverage="0" aboveAverage="0" dxfId="2" text="" percent="0" bottom="0">
      <formula>D10="Yes"</formula>
    </cfRule>
    <cfRule type="expression" rank="0" priority="35" equalAverage="0" aboveAverage="0" dxfId="0" text="" percent="0" bottom="0">
      <formula>D10="No"</formula>
    </cfRule>
  </conditionalFormatting>
  <conditionalFormatting sqref="E10">
    <cfRule type="expression" rank="0" priority="36" equalAverage="0" aboveAverage="0" dxfId="2" text="" percent="0" bottom="0">
      <formula>E10="Yes"</formula>
    </cfRule>
    <cfRule type="expression" rank="0" priority="37" equalAverage="0" aboveAverage="0" dxfId="0" text="" percent="0" bottom="0">
      <formula>E10="No"</formula>
    </cfRule>
  </conditionalFormatting>
  <conditionalFormatting sqref="F11">
    <cfRule type="expression" rank="0" priority="38" equalAverage="0" aboveAverage="0" dxfId="0" text="" percent="0" bottom="0">
      <formula>F11="UNCOVERED"</formula>
    </cfRule>
    <cfRule type="expression" rank="0" priority="39" equalAverage="0" aboveAverage="0" dxfId="1" text="" percent="0" bottom="0">
      <formula>F11="Single layer"</formula>
    </cfRule>
    <cfRule type="expression" rank="0" priority="40" equalAverage="0" aboveAverage="0" dxfId="2" text="" percent="0" bottom="0">
      <formula>OR(F11="Layered",F11="Fully layered")</formula>
    </cfRule>
  </conditionalFormatting>
  <conditionalFormatting sqref="C11">
    <cfRule type="expression" rank="0" priority="41" equalAverage="0" aboveAverage="0" dxfId="2" text="" percent="0" bottom="0">
      <formula>C11="Yes"</formula>
    </cfRule>
    <cfRule type="expression" rank="0" priority="42" equalAverage="0" aboveAverage="0" dxfId="0" text="" percent="0" bottom="0">
      <formula>C11="No"</formula>
    </cfRule>
  </conditionalFormatting>
  <conditionalFormatting sqref="D11">
    <cfRule type="expression" rank="0" priority="43" equalAverage="0" aboveAverage="0" dxfId="2" text="" percent="0" bottom="0">
      <formula>D11="Yes"</formula>
    </cfRule>
    <cfRule type="expression" rank="0" priority="44" equalAverage="0" aboveAverage="0" dxfId="0" text="" percent="0" bottom="0">
      <formula>D11="No"</formula>
    </cfRule>
  </conditionalFormatting>
  <conditionalFormatting sqref="E11">
    <cfRule type="expression" rank="0" priority="45" equalAverage="0" aboveAverage="0" dxfId="2" text="" percent="0" bottom="0">
      <formula>E11="Yes"</formula>
    </cfRule>
    <cfRule type="expression" rank="0" priority="46" equalAverage="0" aboveAverage="0" dxfId="0" text="" percent="0" bottom="0">
      <formula>E11="No"</formula>
    </cfRule>
  </conditionalFormatting>
  <conditionalFormatting sqref="F12">
    <cfRule type="expression" rank="0" priority="47" equalAverage="0" aboveAverage="0" dxfId="0" text="" percent="0" bottom="0">
      <formula>F12="UNCOVERED"</formula>
    </cfRule>
    <cfRule type="expression" rank="0" priority="48" equalAverage="0" aboveAverage="0" dxfId="1" text="" percent="0" bottom="0">
      <formula>F12="Single layer"</formula>
    </cfRule>
    <cfRule type="expression" rank="0" priority="49" equalAverage="0" aboveAverage="0" dxfId="2" text="" percent="0" bottom="0">
      <formula>OR(F12="Layered",F12="Fully layered")</formula>
    </cfRule>
  </conditionalFormatting>
  <conditionalFormatting sqref="C12">
    <cfRule type="expression" rank="0" priority="50" equalAverage="0" aboveAverage="0" dxfId="2" text="" percent="0" bottom="0">
      <formula>C12="Yes"</formula>
    </cfRule>
    <cfRule type="expression" rank="0" priority="51" equalAverage="0" aboveAverage="0" dxfId="0" text="" percent="0" bottom="0">
      <formula>C12="No"</formula>
    </cfRule>
  </conditionalFormatting>
  <conditionalFormatting sqref="D12">
    <cfRule type="expression" rank="0" priority="52" equalAverage="0" aboveAverage="0" dxfId="2" text="" percent="0" bottom="0">
      <formula>D12="Yes"</formula>
    </cfRule>
    <cfRule type="expression" rank="0" priority="53" equalAverage="0" aboveAverage="0" dxfId="0" text="" percent="0" bottom="0">
      <formula>D12="No"</formula>
    </cfRule>
  </conditionalFormatting>
  <conditionalFormatting sqref="E12">
    <cfRule type="expression" rank="0" priority="54" equalAverage="0" aboveAverage="0" dxfId="2" text="" percent="0" bottom="0">
      <formula>E12="Yes"</formula>
    </cfRule>
    <cfRule type="expression" rank="0" priority="55" equalAverage="0" aboveAverage="0" dxfId="0" text="" percent="0" bottom="0">
      <formula>E12="No"</formula>
    </cfRule>
  </conditionalFormatting>
  <conditionalFormatting sqref="F13">
    <cfRule type="expression" rank="0" priority="56" equalAverage="0" aboveAverage="0" dxfId="0" text="" percent="0" bottom="0">
      <formula>F13="UNCOVERED"</formula>
    </cfRule>
    <cfRule type="expression" rank="0" priority="57" equalAverage="0" aboveAverage="0" dxfId="1" text="" percent="0" bottom="0">
      <formula>F13="Single layer"</formula>
    </cfRule>
    <cfRule type="expression" rank="0" priority="58" equalAverage="0" aboveAverage="0" dxfId="2" text="" percent="0" bottom="0">
      <formula>OR(F13="Layered",F13="Fully layered")</formula>
    </cfRule>
  </conditionalFormatting>
  <conditionalFormatting sqref="C13">
    <cfRule type="expression" rank="0" priority="59" equalAverage="0" aboveAverage="0" dxfId="2" text="" percent="0" bottom="0">
      <formula>C13="Yes"</formula>
    </cfRule>
    <cfRule type="expression" rank="0" priority="60" equalAverage="0" aboveAverage="0" dxfId="0" text="" percent="0" bottom="0">
      <formula>C13="No"</formula>
    </cfRule>
  </conditionalFormatting>
  <conditionalFormatting sqref="D13">
    <cfRule type="expression" rank="0" priority="61" equalAverage="0" aboveAverage="0" dxfId="2" text="" percent="0" bottom="0">
      <formula>D13="Yes"</formula>
    </cfRule>
    <cfRule type="expression" rank="0" priority="62" equalAverage="0" aboveAverage="0" dxfId="0" text="" percent="0" bottom="0">
      <formula>D13="No"</formula>
    </cfRule>
  </conditionalFormatting>
  <conditionalFormatting sqref="E13">
    <cfRule type="expression" rank="0" priority="63" equalAverage="0" aboveAverage="0" dxfId="2" text="" percent="0" bottom="0">
      <formula>E13="Yes"</formula>
    </cfRule>
    <cfRule type="expression" rank="0" priority="64" equalAverage="0" aboveAverage="0" dxfId="0" text="" percent="0" bottom="0">
      <formula>E13="No"</formula>
    </cfRule>
  </conditionalFormatting>
  <dataValidations count="21">
    <dataValidation sqref="C7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7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E7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C8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8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E8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C9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9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E9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C10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10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E10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C11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11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E11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C12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12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E12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C13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13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E13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</dataValidations>
  <printOptions horizontalCentered="0" verticalCentered="0" headings="0" gridLines="0" gridLinesSet="1"/>
  <pageMargins left="0.3" right="0.3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2026-05-11T03:53:09Z</dcterms:created>
  <dcterms:modified xmlns:dcterms="http://purl.org/dc/terms/" xmlns:xsi="http://www.w3.org/2001/XMLSchema-instance" xsi:type="dcterms:W3CDTF">2026-05-11T03:54:15Z</dcterms:modified>
  <cp:revision>0</cp:revision>
</cp:coreProperties>
</file>