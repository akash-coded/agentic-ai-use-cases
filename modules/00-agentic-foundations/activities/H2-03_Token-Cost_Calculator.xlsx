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<sst xmlns="http://schemas.openxmlformats.org/spreadsheetml/2006/main" count="54" uniqueCount="48">
  <si>
    <t xml:space="preserve">HALF 2   ·   TOKEN COST CALCULATOR</t>
  </si>
  <si>
    <t xml:space="preserve">Architecture choices multiply token cost.</t>
  </si>
  <si>
    <t xml:space="preserve">Pick each architecture lever from its dropdown. The live total shows the cost multiplier vs a single chatbot turn.</t>
  </si>
  <si>
    <t xml:space="preserve">Lever</t>
  </si>
  <si>
    <t xml:space="preserve">Choice</t>
  </si>
  <si>
    <t xml:space="preserve">Multiplier</t>
  </si>
  <si>
    <t xml:space="preserve">Why</t>
  </si>
  <si>
    <t xml:space="preserve">Base prompt size (tokens)</t>
  </si>
  <si>
    <t xml:space="preserve">1500 — system + tool descriptions</t>
  </si>
  <si>
    <t xml:space="preserve">Defines the floor. Every turn pays this once.</t>
  </si>
  <si>
    <t xml:space="preserve">Number of plan-act-observe turns per session</t>
  </si>
  <si>
    <t xml:space="preserve">3 — simple task</t>
  </si>
  <si>
    <t xml:space="preserve">More turns = more times you pay the base prompt cost.</t>
  </si>
  <si>
    <t xml:space="preserve">Retrieved chunks per turn (RAG)</t>
  </si>
  <si>
    <t xml:space="preserve">5 chunks</t>
  </si>
  <si>
    <t xml:space="preserve">Each retrieved chunk adds to context per turn.</t>
  </si>
  <si>
    <t xml:space="preserve">Number of sub-agents in orchestration</t>
  </si>
  <si>
    <t xml:space="preserve">2 sub-agents</t>
  </si>
  <si>
    <t xml:space="preserve">Each sub-agent invocation duplicates context.</t>
  </si>
  <si>
    <t xml:space="preserve">Retry rate on tool failures</t>
  </si>
  <si>
    <t xml:space="preserve">10% — low failure environment</t>
  </si>
  <si>
    <t xml:space="preserve">Failed calls re-run the planner. Compounds the multiplier.</t>
  </si>
  <si>
    <t xml:space="preserve">Evaluation overhead</t>
  </si>
  <si>
    <t xml:space="preserve">LLM-as-judge on output (1x)</t>
  </si>
  <si>
    <t xml:space="preserve">Eval is a model call too. Watched closely or it dominates cost.</t>
  </si>
  <si>
    <t xml:space="preserve">CALCULATION</t>
  </si>
  <si>
    <t xml:space="preserve">Tokens per session =</t>
  </si>
  <si>
    <t xml:space="preserve">Equivalent multiplier vs single chatbot turn (1500 tok):</t>
  </si>
  <si>
    <t xml:space="preserve">Verdict:</t>
  </si>
  <si>
    <t xml:space="preserve">Toggle one dropdown at a time. The total reveals which lever is the most expensive in your current design.</t>
  </si>
  <si>
    <t xml:space="preserve">500 — minimal system prompt</t>
  </si>
  <si>
    <t xml:space="preserve">3000 — system + tools + few-shot examples</t>
  </si>
  <si>
    <t xml:space="preserve">5000 — heavy persona + many tools</t>
  </si>
  <si>
    <t xml:space="preserve">1 — one-shot</t>
  </si>
  <si>
    <t xml:space="preserve">5 — moderate task</t>
  </si>
  <si>
    <t xml:space="preserve">10 — complex task</t>
  </si>
  <si>
    <t xml:space="preserve">0 — no RAG</t>
  </si>
  <si>
    <t xml:space="preserve">10 chunks</t>
  </si>
  <si>
    <t xml:space="preserve">20 chunks</t>
  </si>
  <si>
    <t xml:space="preserve">0 — single agent</t>
  </si>
  <si>
    <t xml:space="preserve">4 sub-agents</t>
  </si>
  <si>
    <t xml:space="preserve">8 sub-agents</t>
  </si>
  <si>
    <t xml:space="preserve">0% — never retries</t>
  </si>
  <si>
    <t xml:space="preserve">30% — flaky upstream</t>
  </si>
  <si>
    <t xml:space="preserve">50% — heavy retry budget</t>
  </si>
  <si>
    <t xml:space="preserve">None</t>
  </si>
  <si>
    <t xml:space="preserve">Judge + critique chain (2x)</t>
  </si>
  <si>
    <t xml:space="preserve">Full eval suite per call (3x)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</si>
</sst>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"/>
    <numFmt numFmtId="167" formatCode="0%"/>
    <numFmt numFmtId="168" formatCode="0.0\×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B45309"/>
      <name val="Calibri"/>
      <family val="0"/>
      <charset val="1"/>
    </font>
    <font>
      <b val="true"/>
      <sz val="20"/>
      <color rgb="FF0F172A"/>
      <name val="Calibri"/>
      <family val="0"/>
      <charset val="1"/>
    </font>
    <font>
      <i val="true"/>
      <sz val="11"/>
      <color rgb="FF64748B"/>
      <name val="Calibri"/>
      <family val="0"/>
      <charset val="1"/>
    </font>
    <font>
      <b val="true"/>
      <sz val="10"/>
      <color rgb="FF64748B"/>
      <name val="Calibri"/>
      <family val="0"/>
      <charset val="1"/>
    </font>
    <font>
      <sz val="11"/>
      <color rgb="FF0F172A"/>
      <name val="Calibri"/>
      <family val="0"/>
      <charset val="1"/>
    </font>
    <font>
      <b val="true"/>
      <sz val="11"/>
      <color rgb="FF1E40AF"/>
      <name val="Calibri"/>
      <family val="0"/>
      <charset val="1"/>
    </font>
    <font>
      <b val="true"/>
      <sz val="11"/>
      <color rgb="FF0F172A"/>
      <name val="Calibri"/>
      <family val="0"/>
      <charset val="1"/>
    </font>
    <font>
      <b val="true"/>
      <sz val="28"/>
      <color rgb="FF0F172A"/>
      <name val="Calibri"/>
      <family val="0"/>
      <charset val="1"/>
    </font>
    <font>
      <b val="true"/>
      <sz val="14"/>
      <color rgb="FFB45309"/>
      <name val="Calibri"/>
      <family val="0"/>
      <charset val="1"/>
    </font>
    <font>
      <i val="true"/>
      <sz val="9"/>
      <color rgb="FF94A3B8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8FAFC"/>
        <bgColor rgb="FFFEF3C7"/>
      </patternFill>
    </fill>
    <fill>
      <patternFill patternType="solid">
        <fgColor rgb="FFFEF3C7"/>
        <bgColor rgb="FFFFFF9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2E8F0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6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5" fontId="11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8FAF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E2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4A3B8"/>
      <rgbColor rgb="FF003366"/>
      <rgbColor rgb="FF339966"/>
      <rgbColor rgb="FF0F172A"/>
      <rgbColor rgb="FF333300"/>
      <rgbColor rgb="FFB45309"/>
      <rgbColor rgb="FF993366"/>
      <rgbColor rgb="FF1E40A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C6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3" min="3" style="1" width="18"/>
    <col collapsed="false" customWidth="true" hidden="false" outlineLevel="0" max="4" min="4" style="1" width="24"/>
    <col collapsed="false" customWidth="true" hidden="false" outlineLevel="0" max="5" min="5" style="1" width="30"/>
    <col collapsed="false" customWidth="true" hidden="false" outlineLevel="0" max="6" min="6" style="1" width="3"/>
    <col collapsed="false" customWidth="true" hidden="true" outlineLevel="0" max="29" min="27" style="1" width="1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</row>
    <row r="3" customFormat="false" ht="18" hidden="false" customHeight="true" outlineLevel="0" collapsed="false">
      <c r="A3" s="4" t="s">
        <v>2</v>
      </c>
      <c r="B3" s="4"/>
      <c r="C3" s="4"/>
      <c r="D3" s="4"/>
      <c r="E3" s="4"/>
    </row>
    <row r="4" customFormat="false" ht="15" hidden="false" customHeight="true" outlineLevel="0" collapsed="false">
      <c r="A4" s="5"/>
      <c r="B4" s="5"/>
      <c r="C4" s="5"/>
      <c r="D4" s="5"/>
      <c r="E4" s="5"/>
    </row>
    <row r="6" customFormat="false" ht="21.75" hidden="false" customHeight="true" outlineLevel="0" collapsed="false">
      <c r="B6" s="6" t="s">
        <v>3</v>
      </c>
      <c r="C6" s="6" t="s">
        <v>4</v>
      </c>
      <c r="D6" s="6" t="s">
        <v>5</v>
      </c>
      <c r="E6" s="6" t="s">
        <v>6</v>
      </c>
    </row>
    <row r="7" customFormat="false" ht="25.5" hidden="false" customHeight="true" outlineLevel="0" collapsed="false">
      <c r="B7" s="7" t="s">
        <v>7</v>
      </c>
      <c r="C7" s="8" t="s">
        <v>8</v>
      </c>
      <c r="D7" s="9" t="n">
        <f aca="false">VLOOKUP(C7,$AA$30:$AB$33,2,FALSE())</f>
        <v>1500</v>
      </c>
      <c r="E7" s="10" t="s">
        <v>9</v>
      </c>
    </row>
    <row r="8" customFormat="false" ht="25.5" hidden="false" customHeight="true" outlineLevel="0" collapsed="false">
      <c r="B8" s="7" t="s">
        <v>10</v>
      </c>
      <c r="C8" s="8" t="s">
        <v>11</v>
      </c>
      <c r="D8" s="11" t="n">
        <f aca="false">VLOOKUP(C8,$AA$36:$AB$39,2,FALSE())</f>
        <v>3</v>
      </c>
      <c r="E8" s="10" t="s">
        <v>12</v>
      </c>
    </row>
    <row r="9" customFormat="false" ht="25.5" hidden="false" customHeight="true" outlineLevel="0" collapsed="false">
      <c r="B9" s="7" t="s">
        <v>13</v>
      </c>
      <c r="C9" s="8" t="s">
        <v>14</v>
      </c>
      <c r="D9" s="11" t="n">
        <f aca="false">VLOOKUP(C9,$AA$42:$AB$45,2,FALSE())</f>
        <v>5</v>
      </c>
      <c r="E9" s="10" t="s">
        <v>15</v>
      </c>
    </row>
    <row r="10" customFormat="false" ht="25.5" hidden="false" customHeight="true" outlineLevel="0" collapsed="false">
      <c r="B10" s="7" t="s">
        <v>16</v>
      </c>
      <c r="C10" s="8" t="s">
        <v>17</v>
      </c>
      <c r="D10" s="11" t="n">
        <f aca="false">VLOOKUP(C10,$AA$48:$AB$51,2,FALSE())</f>
        <v>2</v>
      </c>
      <c r="E10" s="10" t="s">
        <v>18</v>
      </c>
    </row>
    <row r="11" customFormat="false" ht="25.5" hidden="false" customHeight="true" outlineLevel="0" collapsed="false">
      <c r="B11" s="7" t="s">
        <v>19</v>
      </c>
      <c r="C11" s="8" t="s">
        <v>20</v>
      </c>
      <c r="D11" s="12" t="n">
        <f aca="false">VLOOKUP(C11,$AA$54:$AB$57,2,FALSE())</f>
        <v>0.1</v>
      </c>
      <c r="E11" s="10" t="s">
        <v>21</v>
      </c>
    </row>
    <row r="12" customFormat="false" ht="25.5" hidden="false" customHeight="true" outlineLevel="0" collapsed="false">
      <c r="B12" s="7" t="s">
        <v>22</v>
      </c>
      <c r="C12" s="8" t="s">
        <v>23</v>
      </c>
      <c r="D12" s="11" t="n">
        <f aca="false">VLOOKUP(C12,$AA$60:$AB$63,2,FALSE())</f>
        <v>1</v>
      </c>
      <c r="E12" s="10" t="s">
        <v>24</v>
      </c>
    </row>
    <row r="14" customFormat="false" ht="15" hidden="false" customHeight="true" outlineLevel="0" collapsed="false">
      <c r="B14" s="13" t="s">
        <v>25</v>
      </c>
    </row>
    <row r="15" customFormat="false" ht="31.5" hidden="false" customHeight="true" outlineLevel="0" collapsed="false">
      <c r="B15" s="14" t="s">
        <v>26</v>
      </c>
      <c r="C15" s="15" t="n">
        <f aca="false">D7*D8*(1+D9)*(1+D10)*(1+D11)*(1+D12)</f>
        <v>178200</v>
      </c>
      <c r="D15" s="15"/>
    </row>
    <row r="16" customFormat="false" ht="18" hidden="false" customHeight="true" outlineLevel="0" collapsed="false">
      <c r="B16" s="16" t="s">
        <v>27</v>
      </c>
      <c r="C16" s="17" t="n">
        <f aca="false">(D7*D8*(1+D9)*(1+D10)*(1+D11)*(1+D12))/1500</f>
        <v>118.8</v>
      </c>
    </row>
    <row r="17" customFormat="false" ht="27.75" hidden="false" customHeight="true" outlineLevel="0" collapsed="false">
      <c r="B17" s="18" t="s">
        <v>28</v>
      </c>
      <c r="C17" s="19" t="str">
        <f aca="false">IF((D7*D8*(1+D9)*(1+D10)*(1+D11)*(1+D12))/1500&lt;5,"Cheap. Single-call or short loop territory.",IF((D7*D8*(1+D9)*(1+D10)*(1+D11)*(1+D12))/1500&lt;25,"Moderate. Typical assistant.",IF((D7*D8*(1+D9)*(1+D10)*(1+D11)*(1+D12))/1500&lt;100,"Expensive. Watch the multipliers.","Runaway. Budget per session, not per call.")))</f>
        <v>Runaway. Budget per session, not per call.</v>
      </c>
      <c r="D17" s="19"/>
      <c r="E17" s="19"/>
    </row>
    <row r="19" customFormat="false" ht="15" hidden="false" customHeight="true" outlineLevel="0" collapsed="false">
      <c r="B19" s="20" t="s">
        <v>29</v>
      </c>
      <c r="C19" s="20"/>
      <c r="D19" s="20"/>
      <c r="E19" s="20"/>
    </row>
    <row r="30" customFormat="false" ht="15" hidden="false" customHeight="true" outlineLevel="0" collapsed="false">
      <c r="AA30" s="1" t="s">
        <v>30</v>
      </c>
      <c r="AB30" s="1" t="n">
        <v>500</v>
      </c>
      <c r="AC30" s="1" t="n">
        <v>0</v>
      </c>
    </row>
    <row r="31" customFormat="false" ht="15" hidden="false" customHeight="true" outlineLevel="0" collapsed="false">
      <c r="AA31" s="1" t="s">
        <v>8</v>
      </c>
      <c r="AB31" s="1" t="n">
        <v>1500</v>
      </c>
      <c r="AC31" s="1" t="n">
        <v>0</v>
      </c>
    </row>
    <row r="32" customFormat="false" ht="15" hidden="false" customHeight="true" outlineLevel="0" collapsed="false">
      <c r="AA32" s="1" t="s">
        <v>31</v>
      </c>
      <c r="AB32" s="1" t="n">
        <v>3000</v>
      </c>
      <c r="AC32" s="1" t="n">
        <v>0</v>
      </c>
    </row>
    <row r="33" customFormat="false" ht="15" hidden="false" customHeight="true" outlineLevel="0" collapsed="false">
      <c r="AA33" s="1" t="s">
        <v>32</v>
      </c>
      <c r="AB33" s="1" t="n">
        <v>5000</v>
      </c>
      <c r="AC33" s="1" t="n">
        <v>0</v>
      </c>
    </row>
    <row r="36" customFormat="false" ht="15" hidden="false" customHeight="true" outlineLevel="0" collapsed="false">
      <c r="AA36" s="1" t="s">
        <v>33</v>
      </c>
      <c r="AB36" s="1" t="n">
        <v>1</v>
      </c>
      <c r="AC36" s="1" t="n">
        <v>1</v>
      </c>
    </row>
    <row r="37" customFormat="false" ht="15" hidden="false" customHeight="true" outlineLevel="0" collapsed="false">
      <c r="AA37" s="1" t="s">
        <v>11</v>
      </c>
      <c r="AB37" s="1" t="n">
        <v>3</v>
      </c>
      <c r="AC37" s="1" t="n">
        <v>1</v>
      </c>
    </row>
    <row r="38" customFormat="false" ht="15" hidden="false" customHeight="true" outlineLevel="0" collapsed="false">
      <c r="AA38" s="1" t="s">
        <v>34</v>
      </c>
      <c r="AB38" s="1" t="n">
        <v>5</v>
      </c>
      <c r="AC38" s="1" t="n">
        <v>1</v>
      </c>
    </row>
    <row r="39" customFormat="false" ht="15" hidden="false" customHeight="true" outlineLevel="0" collapsed="false">
      <c r="AA39" s="1" t="s">
        <v>35</v>
      </c>
      <c r="AB39" s="1" t="n">
        <v>10</v>
      </c>
      <c r="AC39" s="1" t="n">
        <v>1</v>
      </c>
    </row>
    <row r="42" customFormat="false" ht="15" hidden="false" customHeight="true" outlineLevel="0" collapsed="false">
      <c r="AA42" s="1" t="s">
        <v>36</v>
      </c>
      <c r="AB42" s="1" t="n">
        <v>0</v>
      </c>
      <c r="AC42" s="1" t="n">
        <v>2</v>
      </c>
    </row>
    <row r="43" customFormat="false" ht="15" hidden="false" customHeight="true" outlineLevel="0" collapsed="false">
      <c r="AA43" s="1" t="s">
        <v>14</v>
      </c>
      <c r="AB43" s="1" t="n">
        <v>5</v>
      </c>
      <c r="AC43" s="1" t="n">
        <v>2</v>
      </c>
    </row>
    <row r="44" customFormat="false" ht="15" hidden="false" customHeight="true" outlineLevel="0" collapsed="false">
      <c r="AA44" s="1" t="s">
        <v>37</v>
      </c>
      <c r="AB44" s="1" t="n">
        <v>10</v>
      </c>
      <c r="AC44" s="1" t="n">
        <v>2</v>
      </c>
    </row>
    <row r="45" customFormat="false" ht="15" hidden="false" customHeight="true" outlineLevel="0" collapsed="false">
      <c r="AA45" s="1" t="s">
        <v>38</v>
      </c>
      <c r="AB45" s="1" t="n">
        <v>20</v>
      </c>
      <c r="AC45" s="1" t="n">
        <v>2</v>
      </c>
    </row>
    <row r="48" customFormat="false" ht="15" hidden="false" customHeight="true" outlineLevel="0" collapsed="false">
      <c r="AA48" s="1" t="s">
        <v>39</v>
      </c>
      <c r="AB48" s="1" t="n">
        <v>0</v>
      </c>
      <c r="AC48" s="1" t="n">
        <v>3</v>
      </c>
    </row>
    <row r="49" customFormat="false" ht="15" hidden="false" customHeight="true" outlineLevel="0" collapsed="false">
      <c r="AA49" s="1" t="s">
        <v>17</v>
      </c>
      <c r="AB49" s="1" t="n">
        <v>2</v>
      </c>
      <c r="AC49" s="1" t="n">
        <v>3</v>
      </c>
    </row>
    <row r="50" customFormat="false" ht="15" hidden="false" customHeight="true" outlineLevel="0" collapsed="false">
      <c r="AA50" s="1" t="s">
        <v>40</v>
      </c>
      <c r="AB50" s="1" t="n">
        <v>4</v>
      </c>
      <c r="AC50" s="1" t="n">
        <v>3</v>
      </c>
    </row>
    <row r="51" customFormat="false" ht="15" hidden="false" customHeight="true" outlineLevel="0" collapsed="false">
      <c r="AA51" s="1" t="s">
        <v>41</v>
      </c>
      <c r="AB51" s="1" t="n">
        <v>8</v>
      </c>
      <c r="AC51" s="1" t="n">
        <v>3</v>
      </c>
    </row>
    <row r="54" customFormat="false" ht="15" hidden="false" customHeight="true" outlineLevel="0" collapsed="false">
      <c r="AA54" s="1" t="s">
        <v>42</v>
      </c>
      <c r="AB54" s="1" t="n">
        <v>0</v>
      </c>
      <c r="AC54" s="1" t="n">
        <v>4</v>
      </c>
    </row>
    <row r="55" customFormat="false" ht="15" hidden="false" customHeight="true" outlineLevel="0" collapsed="false">
      <c r="AA55" s="1" t="s">
        <v>20</v>
      </c>
      <c r="AB55" s="1" t="n">
        <v>0.1</v>
      </c>
      <c r="AC55" s="1" t="n">
        <v>4</v>
      </c>
    </row>
    <row r="56" customFormat="false" ht="15" hidden="false" customHeight="true" outlineLevel="0" collapsed="false">
      <c r="AA56" s="1" t="s">
        <v>43</v>
      </c>
      <c r="AB56" s="1" t="n">
        <v>0.3</v>
      </c>
      <c r="AC56" s="1" t="n">
        <v>4</v>
      </c>
    </row>
    <row r="57" customFormat="false" ht="15" hidden="false" customHeight="true" outlineLevel="0" collapsed="false">
      <c r="AA57" s="1" t="s">
        <v>44</v>
      </c>
      <c r="AB57" s="1" t="n">
        <v>0.5</v>
      </c>
      <c r="AC57" s="1" t="n">
        <v>4</v>
      </c>
    </row>
    <row r="60" customFormat="false" ht="15" hidden="false" customHeight="true" outlineLevel="0" collapsed="false">
      <c r="AA60" s="1" t="s">
        <v>45</v>
      </c>
      <c r="AB60" s="1" t="n">
        <v>0</v>
      </c>
      <c r="AC60" s="1" t="n">
        <v>5</v>
      </c>
    </row>
    <row r="61" customFormat="false" ht="15" hidden="false" customHeight="true" outlineLevel="0" collapsed="false">
      <c r="AA61" s="1" t="s">
        <v>23</v>
      </c>
      <c r="AB61" s="1" t="n">
        <v>1</v>
      </c>
      <c r="AC61" s="1" t="n">
        <v>5</v>
      </c>
    </row>
    <row r="62" customFormat="false" ht="15" hidden="false" customHeight="true" outlineLevel="0" collapsed="false">
      <c r="AA62" s="1" t="s">
        <v>46</v>
      </c>
      <c r="AB62" s="1" t="n">
        <v>2</v>
      </c>
      <c r="AC62" s="1" t="n">
        <v>5</v>
      </c>
    </row>
    <row r="63" customFormat="false" ht="15" hidden="false" customHeight="true" outlineLevel="0" collapsed="false">
      <c r="AA63" s="1" t="s">
        <v>47</v>
      </c>
      <c r="AB63" s="1" t="n">
        <v>3</v>
      </c>
      <c r="AC63" s="1" t="n">
        <v>5</v>
      </c>
    </row>
  </sheetData>
  <mergeCells count="6">
    <mergeCell ref="A1:E1"/>
    <mergeCell ref="A2:E2"/>
    <mergeCell ref="A3:E3"/>
    <mergeCell ref="C15:D15"/>
    <mergeCell ref="C17:E17"/>
    <mergeCell ref="B19:E19"/>
  </mergeCells>
  <dataValidations count="6">
    <dataValidation allowBlank="false" error="Pick from the dropdown." errorStyle="stop" errorTitle="Invalid choice" operator="between" showDropDown="false" showErrorMessage="false" showInputMessage="false" sqref="C7" type="list">
      <formula1>"500 — minimal system prompt,1500 — system + tool descriptions,3000 — system + tools + few-shot examples,5000 — heavy persona + many tools"</formula1>
      <formula2>0</formula2>
    </dataValidation>
    <dataValidation allowBlank="false" error="Pick from the dropdown." errorStyle="stop" errorTitle="Invalid choice" operator="between" showDropDown="false" showErrorMessage="false" showInputMessage="false" sqref="C8" type="list">
      <formula1>"1 — one-shot,3 — simple task,5 — moderate task,10 — complex task"</formula1>
      <formula2>0</formula2>
    </dataValidation>
    <dataValidation allowBlank="false" error="Pick from the dropdown." errorStyle="stop" errorTitle="Invalid choice" operator="between" showDropDown="false" showErrorMessage="false" showInputMessage="false" sqref="C9" type="list">
      <formula1>"0 — no RAG,5 chunks,10 chunks,20 chunks"</formula1>
      <formula2>0</formula2>
    </dataValidation>
    <dataValidation allowBlank="false" error="Pick from the dropdown." errorStyle="stop" errorTitle="Invalid choice" operator="between" showDropDown="false" showErrorMessage="false" showInputMessage="false" sqref="C10" type="list">
      <formula1>"0 — single agent,2 sub-agents,4 sub-agents,8 sub-agents"</formula1>
      <formula2>0</formula2>
    </dataValidation>
    <dataValidation allowBlank="false" error="Pick from the dropdown." errorStyle="stop" errorTitle="Invalid choice" operator="between" showDropDown="false" showErrorMessage="false" showInputMessage="false" sqref="C11" type="list">
      <formula1>"0% — never retries,10% — low failure environment,30% — flaky upstream,50% — heavy retry budget"</formula1>
      <formula2>0</formula2>
    </dataValidation>
    <dataValidation allowBlank="false" error="Pick from the dropdown." errorStyle="stop" errorTitle="Invalid choice" operator="between" showDropDown="false" showErrorMessage="false" showInputMessage="false" sqref="C12" type="list">
      <formula1>"None,LLM-as-judge on output (1x),Judge + critique chain (2x),Full eval suite per call (3x)"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2026-05-11T03:53:09Z</dcterms:created>
  <dc:creator>openpyxl</dc:creator>
  <dc:description/>
  <dc:language>en-US</dc:language>
  <cp:lastModifiedBy/>
  <dcterms:modified xsi:type="dcterms:W3CDTF">2026-05-11T03:55:56Z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