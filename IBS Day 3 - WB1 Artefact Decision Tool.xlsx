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1 Feature" sheetId="2" state="visible" r:id="rId4"/>
    <sheet name="2 Actions" sheetId="3" state="visible" r:id="rId5"/>
    <sheet name="3 Artefacts" sheetId="4" state="visible" r:id="rId6"/>
    <sheet name="4 Acceptance" sheetId="5" state="visible" r:id="rId7"/>
    <sheet name="5 Agent Spec" sheetId="6" state="visible" r:id="rId8"/>
    <sheet name="6 Export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e.g. Change-flight agent</t>
        </r>
      </text>
    </comment>
    <comment ref="C5" authorId="0">
      <text>
        <r>
          <rPr>
            <sz val="10"/>
            <rFont val="Arial"/>
            <family val="2"/>
          </rPr>
          <t xml:space="preserve">e.g. SkyWays Booking</t>
        </r>
      </text>
    </comment>
    <comment ref="C6" authorId="0">
      <text>
        <r>
          <rPr>
            <sz val="10"/>
            <rFont val="Arial"/>
            <family val="2"/>
          </rPr>
          <t xml:space="preserve">e.g. I need to change my flight and cannot do it myself</t>
        </r>
      </text>
    </comment>
    <comment ref="C7" authorId="0">
      <text>
        <r>
          <rPr>
            <sz val="10"/>
            <rFont val="Arial"/>
            <family val="2"/>
          </rPr>
          <t xml:space="preserve">e.g. passengers whose plans change</t>
        </r>
      </text>
    </comment>
    <comment ref="C8" authorId="0">
      <text>
        <r>
          <rPr>
            <sz val="10"/>
            <rFont val="Arial"/>
            <family val="2"/>
          </rPr>
          <t xml:space="preserve">e.g. 12000</t>
        </r>
      </text>
    </comment>
    <comment ref="C9" authorId="0">
      <text>
        <r>
          <rPr>
            <sz val="10"/>
            <rFont val="Arial"/>
            <family val="2"/>
          </rPr>
          <t xml:space="preserve">e.g. 8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Pulled from the actions tab. Not editable here.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The handling cost a good case removes. For the flight agent, $8.</t>
        </r>
      </text>
    </comment>
    <comment ref="C5" authorId="0">
      <text>
        <r>
          <rPr>
            <sz val="10"/>
            <rFont val="Arial"/>
            <family val="2"/>
          </rPr>
          <t xml:space="preserve">Refund + rework + service recovery. For the flight agent without a hold, $32.</t>
        </r>
      </text>
    </comment>
  </commentList>
</comments>
</file>

<file path=xl/sharedStrings.xml><?xml version="1.0" encoding="utf-8"?>
<sst xmlns="http://schemas.openxmlformats.org/spreadsheetml/2006/main" count="116" uniqueCount="105">
  <si>
    <t xml:space="preserve">Agentic Artefact Decision Tool</t>
  </si>
  <si>
    <t xml:space="preserve">One feature, end to end. Answer the questions and this workbook tells you which artefacts you owe and drafts the spec.</t>
  </si>
  <si>
    <t xml:space="preserve">WHAT THIS IS</t>
  </si>
  <si>
    <t xml:space="preserve">A decision tool for a single feature. You fill the blue cells on each tab in order, and the workbook decides which of the ten P1 artefacts you owe, then assembles a paste-ready agent spec.</t>
  </si>
  <si>
    <t xml:space="preserve">HOW TO USE IT</t>
  </si>
  <si>
    <t xml:space="preserve">1  Feature</t>
  </si>
  <si>
    <t xml:space="preserve">Describe the feature and its numbers on the '1 Feature' tab.</t>
  </si>
  <si>
    <t xml:space="preserve">2  Actions</t>
  </si>
  <si>
    <t xml:space="preserve">List every action the agent takes on '2 Actions'. Answer two questions per action; the tab returns the autonomy ceiling.</t>
  </si>
  <si>
    <t xml:space="preserve">3  Which artefacts</t>
  </si>
  <si>
    <t xml:space="preserve">On '3 Artefacts' answer four yes/no triggers. The sheet marks each of the ten artefacts mandatory, conditional-owed, or skipped.</t>
  </si>
  <si>
    <t xml:space="preserve">4  The bar</t>
  </si>
  <si>
    <t xml:space="preserve">On '4 Acceptance' enter what a right and a wrong answer cost. The sheet computes the bar, per slice.</t>
  </si>
  <si>
    <t xml:space="preserve">5  The spec</t>
  </si>
  <si>
    <t xml:space="preserve">'5 Agent Spec' assembles automatically from what you entered. Nothing to type.</t>
  </si>
  <si>
    <t xml:space="preserve">6  Export</t>
  </si>
  <si>
    <t xml:space="preserve">'6 Export' is the paste-ready block for Productboard. It is formula-built, so it can never drift from your answers.</t>
  </si>
  <si>
    <t xml:space="preserve">WHICH CELLS TO EDIT</t>
  </si>
  <si>
    <t xml:space="preserve">Only cells shaded pale blue are yours to fill. Everything else is computed. A worked example is pre-filled on '1 Feature' row 12 so you can see the expected format; overwrite it.</t>
  </si>
  <si>
    <t xml:space="preserve">THE ONE LEVER</t>
  </si>
  <si>
    <t xml:space="preserve">On '3 Artefacts', flip the 'Runs with other agents?' trigger from No to Yes and watch the registry entry switch from skipped to owed. Every trigger works this way: an artefact is owed only when its condition is true.</t>
  </si>
  <si>
    <t xml:space="preserve">  </t>
  </si>
  <si>
    <t xml:space="preserve">Pale blue = you fill this in</t>
  </si>
  <si>
    <t xml:space="preserve">The feature</t>
  </si>
  <si>
    <t xml:space="preserve">Describe it once. The rest of the workbook reads from here.</t>
  </si>
  <si>
    <t xml:space="preserve">Feature name</t>
  </si>
  <si>
    <t xml:space="preserve">Product</t>
  </si>
  <si>
    <t xml:space="preserve">Problem, in the customer's words</t>
  </si>
  <si>
    <t xml:space="preserve">Who has this problem</t>
  </si>
  <si>
    <t xml:space="preserve">Cases reaching the agent per month</t>
  </si>
  <si>
    <t xml:space="preserve">Cost of one case handled by a person ($)</t>
  </si>
  <si>
    <t xml:space="preserve">WORKED EXAMPLE (overwrite the cells above with your own)</t>
  </si>
  <si>
    <t xml:space="preserve">Change-flight agent</t>
  </si>
  <si>
    <t xml:space="preserve">SkyWays Booking</t>
  </si>
  <si>
    <t xml:space="preserve">Problem</t>
  </si>
  <si>
    <t xml:space="preserve">I need to change my flight and cannot self-serve</t>
  </si>
  <si>
    <t xml:space="preserve">Who</t>
  </si>
  <si>
    <t xml:space="preserve">Passengers whose plans change</t>
  </si>
  <si>
    <t xml:space="preserve">Cases/month</t>
  </si>
  <si>
    <t xml:space="preserve">12000</t>
  </si>
  <si>
    <t xml:space="preserve">Cost/case ($)</t>
  </si>
  <si>
    <t xml:space="preserve">8</t>
  </si>
  <si>
    <t xml:space="preserve">Monthly cost on this problem today</t>
  </si>
  <si>
    <t xml:space="preserve">The actions, and the autonomy ceiling</t>
  </si>
  <si>
    <t xml:space="preserve">List every action. Two questions each. The agent runs at the LOWEST level any single action allows.</t>
  </si>
  <si>
    <t xml:space="preserve">The action (one per row)</t>
  </si>
  <si>
    <t xml:space="preserve">Reversible?</t>
  </si>
  <si>
    <t xml:space="preserve">Hurts if wrong?</t>
  </si>
  <si>
    <t xml:space="preserve">Highest level it allows</t>
  </si>
  <si>
    <t xml:space="preserve">AGENT CEILING (lowest level on the list)</t>
  </si>
  <si>
    <t xml:space="preserve">Does it take any real action?</t>
  </si>
  <si>
    <t xml:space="preserve">Example rows to try: Read booking (Yes,No) · Search flights (Yes,No) · Check visa (Yes,Yes) · Send email (No,No) · Reissue &amp; charge (No,Yes). Ceiling comes out L1.</t>
  </si>
  <si>
    <t xml:space="preserve">Which artefacts you owe</t>
  </si>
  <si>
    <t xml:space="preserve">Five are always owed. Four triggers decide the rest. Flip a trigger and watch an artefact switch.</t>
  </si>
  <si>
    <t xml:space="preserve">THE FOUR TRIGGERS</t>
  </si>
  <si>
    <t xml:space="preserve">Does the agent take an action?</t>
  </si>
  <si>
    <t xml:space="preserve">Is the output probabilistic (a model decides)?</t>
  </si>
  <si>
    <t xml:space="preserve">Are any decisions still open?</t>
  </si>
  <si>
    <t xml:space="preserve">Will it run with other agents?</t>
  </si>
  <si>
    <t xml:space="preserve">YOUR ARTEFACT SET</t>
  </si>
  <si>
    <t xml:space="preserve">Artefact</t>
  </si>
  <si>
    <t xml:space="preserve">Duty</t>
  </si>
  <si>
    <t xml:space="preserve">Owed for THIS feature?</t>
  </si>
  <si>
    <t xml:space="preserve">Problem brief</t>
  </si>
  <si>
    <t xml:space="preserve">Mandatory</t>
  </si>
  <si>
    <t xml:space="preserve">Agent spec</t>
  </si>
  <si>
    <t xml:space="preserve">Autonomy line</t>
  </si>
  <si>
    <t xml:space="preserve">Acceptance bar</t>
  </si>
  <si>
    <t xml:space="preserve">Tool contract</t>
  </si>
  <si>
    <t xml:space="preserve">Statistical acceptance plan</t>
  </si>
  <si>
    <t xml:space="preserve">Conditional</t>
  </si>
  <si>
    <t xml:space="preserve">Open-decisions log</t>
  </si>
  <si>
    <t xml:space="preserve">Agent registry entry</t>
  </si>
  <si>
    <t xml:space="preserve">Autonomy spec (detailed)</t>
  </si>
  <si>
    <t xml:space="preserve">Rollback runbook</t>
  </si>
  <si>
    <t xml:space="preserve">Optional</t>
  </si>
  <si>
    <t xml:space="preserve">Artefacts owed for this feature</t>
  </si>
  <si>
    <t xml:space="preserve">THE LEVER: flip trigger 4 from No to Yes and the registry entry above switches from skip to OWED. Every conditional artefact works this way.</t>
  </si>
  <si>
    <t xml:space="preserve">The acceptance bar</t>
  </si>
  <si>
    <t xml:space="preserve">The bar comes from what a wrong answer costs divided by what a right one saves.</t>
  </si>
  <si>
    <t xml:space="preserve">One right answer saves ($)</t>
  </si>
  <si>
    <t xml:space="preserve">the handling cost removed when the agent gets it right</t>
  </si>
  <si>
    <t xml:space="preserve">One wrong answer costs ($)</t>
  </si>
  <si>
    <t xml:space="preserve">refund, rework and service recovery when it gets it wrong</t>
  </si>
  <si>
    <t xml:space="preserve">Rights needed to pay for one wrong</t>
  </si>
  <si>
    <t xml:space="preserve">damage / saving</t>
  </si>
  <si>
    <t xml:space="preserve">THE BAR</t>
  </si>
  <si>
    <t xml:space="preserve">1 minus 1/(rights per wrong + 1). This is the share it must get right.</t>
  </si>
  <si>
    <t xml:space="preserve">Add a hold on the risky action?</t>
  </si>
  <si>
    <t xml:space="preserve">No</t>
  </si>
  <si>
    <t xml:space="preserve">A hold catches the mistake before the costly step, cutting the damage.</t>
  </si>
  <si>
    <t xml:space="preserve">Damage with the hold ($)</t>
  </si>
  <si>
    <t xml:space="preserve">With a hold, a wrong answer costs only the wasted handling.</t>
  </si>
  <si>
    <t xml:space="preserve">BAR WITH THE HOLD</t>
  </si>
  <si>
    <t xml:space="preserve">Flip the hold to Yes: the bar drops, and a weaker agent can ship.</t>
  </si>
  <si>
    <t xml:space="preserve">The agent spec, assembled</t>
  </si>
  <si>
    <t xml:space="preserve">Nothing to type here. Every line is built from the tabs before it.</t>
  </si>
  <si>
    <t xml:space="preserve">Agent</t>
  </si>
  <si>
    <t xml:space="preserve">Job</t>
  </si>
  <si>
    <t xml:space="preserve">Serves</t>
  </si>
  <si>
    <t xml:space="preserve">Ceiling (autonomy)</t>
  </si>
  <si>
    <t xml:space="preserve">Artefacts owed</t>
  </si>
  <si>
    <t xml:space="preserve">Change any answer on tabs 1 to 4 and this spec updates itself. It cannot drift from your inputs.</t>
  </si>
  <si>
    <t xml:space="preserve">Paste-ready block for Productboard</t>
  </si>
  <si>
    <t xml:space="preserve">Copy cell B4. It assembles from every tab, so it always matches the workbook.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</si>
</sst>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General"/>
    <numFmt numFmtId="167" formatCode="0.0%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937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0"/>
      <color rgb="FF5C7A52"/>
      <name val="Arial"/>
      <family val="0"/>
      <charset val="1"/>
    </font>
    <font>
      <b val="true"/>
      <sz val="11"/>
      <color rgb="FF1F2937"/>
      <name val="Arial"/>
      <family val="0"/>
      <charset val="1"/>
    </font>
    <font>
      <sz val="11"/>
      <color rgb="FF374151"/>
      <name val="Arial"/>
      <family val="0"/>
      <charset val="1"/>
    </font>
    <font>
      <sz val="10"/>
      <color rgb="FF6B728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9"/>
      <color rgb="FF6B7280"/>
      <name val="Arial"/>
      <family val="0"/>
      <charset val="1"/>
    </font>
    <font>
      <b val="true"/>
      <sz val="11"/>
      <color rgb="FFB8763A"/>
      <name val="Arial"/>
      <family val="0"/>
      <charset val="1"/>
    </font>
    <font>
      <sz val="10"/>
      <name val="Arial"/>
      <family val="2"/>
    </font>
    <font>
      <b val="true"/>
      <sz val="9"/>
      <color rgb="FFFFFFFF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2"/>
      <color rgb="FFB8763A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B8763A"/>
      <name val="Arial"/>
      <family val="0"/>
      <charset val="1"/>
    </font>
    <font>
      <sz val="11"/>
      <color rgb="FF1F2937"/>
      <name val="Arial"/>
      <family val="0"/>
      <charset val="1"/>
    </font>
    <font>
      <b val="true"/>
      <sz val="11"/>
      <color rgb="FF6B7280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0"/>
      <color rgb="FF5B4889"/>
      <name val="Arial"/>
      <family val="0"/>
      <charset val="1"/>
    </font>
    <font>
      <b val="true"/>
      <sz val="9"/>
      <color rgb="FF3F6B8A"/>
      <name val="Arial"/>
      <family val="0"/>
      <charset val="1"/>
    </font>
    <font>
      <b val="true"/>
      <sz val="13"/>
      <color rgb="FFB8763A"/>
      <name val="Arial"/>
      <family val="0"/>
      <charset val="1"/>
    </font>
    <font>
      <b val="true"/>
      <sz val="12"/>
      <color rgb="FF5C7A52"/>
      <name val="Arial"/>
      <family val="0"/>
      <charset val="1"/>
    </font>
    <font>
      <b val="true"/>
      <sz val="13"/>
      <color rgb="FF5C7A52"/>
      <name val="Arial"/>
      <family val="0"/>
      <charset val="1"/>
    </font>
    <font>
      <sz val="10"/>
      <color rgb="FF1F2937"/>
      <name val="Consolas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DCE9F5"/>
        <bgColor rgb="FFE4EEF5"/>
      </patternFill>
    </fill>
    <fill>
      <patternFill patternType="solid">
        <fgColor rgb="FF1F2937"/>
        <bgColor rgb="FF333300"/>
      </patternFill>
    </fill>
    <fill>
      <patternFill patternType="solid">
        <fgColor rgb="FFFBEACA"/>
        <bgColor rgb="FFE8F0E6"/>
      </patternFill>
    </fill>
    <fill>
      <patternFill patternType="solid">
        <fgColor rgb="FFC8DDC8"/>
        <bgColor rgb="FFD8DCE2"/>
      </patternFill>
    </fill>
    <fill>
      <patternFill patternType="solid">
        <fgColor rgb="FFFAD9B5"/>
        <bgColor rgb="FFFBEACA"/>
      </patternFill>
    </fill>
    <fill>
      <patternFill patternType="solid">
        <fgColor rgb="FFDACFE8"/>
        <bgColor rgb="FFD8DCE2"/>
      </patternFill>
    </fill>
    <fill>
      <patternFill patternType="solid">
        <fgColor rgb="FFE8F0E6"/>
        <bgColor rgb="FFE4EEF5"/>
      </patternFill>
    </fill>
    <fill>
      <patternFill patternType="solid">
        <fgColor rgb="FFFAF8F5"/>
        <bgColor rgb="FFFFFFFF"/>
      </patternFill>
    </fill>
    <fill>
      <patternFill patternType="solid">
        <fgColor rgb="FFE4EEF5"/>
        <bgColor rgb="FFE8F0E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8DCE2"/>
      </left>
      <right style="thin">
        <color rgb="FFD8DCE2"/>
      </right>
      <top style="thin">
        <color rgb="FFD8DCE2"/>
      </top>
      <bottom style="thin">
        <color rgb="FFD8DCE2"/>
      </bottom>
      <diagonal/>
    </border>
    <border diagonalUp="false" diagonalDown="false">
      <left style="thin">
        <color rgb="FFD8DCE2"/>
      </left>
      <right/>
      <top style="thin">
        <color rgb="FFD8DCE2"/>
      </top>
      <bottom style="thin">
        <color rgb="FFD8DC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763A"/>
      <rgbColor rgb="FF800080"/>
      <rgbColor rgb="FF008080"/>
      <rgbColor rgb="FFC8DDC8"/>
      <rgbColor rgb="FF5C7A52"/>
      <rgbColor rgb="FF9999FF"/>
      <rgbColor rgb="FF5B4889"/>
      <rgbColor rgb="FFFAF8F5"/>
      <rgbColor rgb="FFE4EEF5"/>
      <rgbColor rgb="FF660066"/>
      <rgbColor rgb="FFFF8080"/>
      <rgbColor rgb="FF0066CC"/>
      <rgbColor rgb="FFDACF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9F5"/>
      <rgbColor rgb="FFE8F0E6"/>
      <rgbColor rgb="FFFBEACA"/>
      <rgbColor rgb="FFD8DCE2"/>
      <rgbColor rgb="FFFF99CC"/>
      <rgbColor rgb="FFCC99FF"/>
      <rgbColor rgb="FFFAD9B5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F6B8A"/>
      <rgbColor rgb="FF003300"/>
      <rgbColor rgb="FF333300"/>
      <rgbColor rgb="FF993300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62"/>
    <col collapsed="false" customWidth="true" hidden="false" outlineLevel="0" max="4" min="4" style="0" width="2"/>
  </cols>
  <sheetData>
    <row r="1" customFormat="false" ht="24" hidden="false" customHeight="true" outlineLevel="0" collapsed="false">
      <c r="A1" s="1" t="s">
        <v>0</v>
      </c>
      <c r="B1" s="1"/>
      <c r="C1" s="1"/>
    </row>
    <row r="2" customFormat="false" ht="18" hidden="false" customHeight="true" outlineLevel="0" collapsed="false">
      <c r="A2" s="2" t="s">
        <v>1</v>
      </c>
      <c r="B2" s="2"/>
      <c r="C2" s="2"/>
    </row>
    <row r="4" customFormat="false" ht="19.5" hidden="false" customHeight="true" outlineLevel="0" collapsed="false">
      <c r="B4" s="3" t="s">
        <v>2</v>
      </c>
      <c r="C4" s="3"/>
    </row>
    <row r="5" customFormat="false" ht="42" hidden="false" customHeight="true" outlineLevel="0" collapsed="false">
      <c r="B5" s="4"/>
      <c r="C5" s="5" t="s">
        <v>3</v>
      </c>
    </row>
    <row r="6" customFormat="false" ht="19.5" hidden="false" customHeight="true" outlineLevel="0" collapsed="false">
      <c r="B6" s="3" t="s">
        <v>4</v>
      </c>
      <c r="C6" s="3"/>
    </row>
    <row r="7" customFormat="false" ht="30" hidden="false" customHeight="true" outlineLevel="0" collapsed="false">
      <c r="B7" s="4" t="s">
        <v>5</v>
      </c>
      <c r="C7" s="5" t="s">
        <v>6</v>
      </c>
    </row>
    <row r="8" customFormat="false" ht="42" hidden="false" customHeight="true" outlineLevel="0" collapsed="false">
      <c r="B8" s="4" t="s">
        <v>7</v>
      </c>
      <c r="C8" s="5" t="s">
        <v>8</v>
      </c>
    </row>
    <row r="9" customFormat="false" ht="42" hidden="false" customHeight="true" outlineLevel="0" collapsed="false">
      <c r="B9" s="4" t="s">
        <v>9</v>
      </c>
      <c r="C9" s="5" t="s">
        <v>10</v>
      </c>
    </row>
    <row r="10" customFormat="false" ht="42" hidden="false" customHeight="true" outlineLevel="0" collapsed="false">
      <c r="B10" s="4" t="s">
        <v>11</v>
      </c>
      <c r="C10" s="5" t="s">
        <v>12</v>
      </c>
    </row>
    <row r="11" customFormat="false" ht="30" hidden="false" customHeight="true" outlineLevel="0" collapsed="false">
      <c r="B11" s="4" t="s">
        <v>13</v>
      </c>
      <c r="C11" s="5" t="s">
        <v>14</v>
      </c>
    </row>
    <row r="12" customFormat="false" ht="42" hidden="false" customHeight="true" outlineLevel="0" collapsed="false">
      <c r="B12" s="4" t="s">
        <v>15</v>
      </c>
      <c r="C12" s="5" t="s">
        <v>16</v>
      </c>
    </row>
    <row r="13" customFormat="false" ht="19.5" hidden="false" customHeight="true" outlineLevel="0" collapsed="false">
      <c r="B13" s="3" t="s">
        <v>17</v>
      </c>
      <c r="C13" s="3"/>
    </row>
    <row r="14" customFormat="false" ht="42" hidden="false" customHeight="true" outlineLevel="0" collapsed="false">
      <c r="B14" s="4"/>
      <c r="C14" s="5" t="s">
        <v>18</v>
      </c>
    </row>
    <row r="15" customFormat="false" ht="19.5" hidden="false" customHeight="true" outlineLevel="0" collapsed="false">
      <c r="B15" s="3" t="s">
        <v>19</v>
      </c>
      <c r="C15" s="3"/>
    </row>
    <row r="16" customFormat="false" ht="42" hidden="false" customHeight="true" outlineLevel="0" collapsed="false">
      <c r="B16" s="4"/>
      <c r="C16" s="5" t="s">
        <v>20</v>
      </c>
    </row>
    <row r="18" customFormat="false" ht="15" hidden="false" customHeight="false" outlineLevel="0" collapsed="false">
      <c r="B18" s="6" t="s">
        <v>21</v>
      </c>
      <c r="C18" s="7" t="s">
        <v>22</v>
      </c>
    </row>
  </sheetData>
  <mergeCells count="6">
    <mergeCell ref="A1:C1"/>
    <mergeCell ref="A2:C2"/>
    <mergeCell ref="B4:C4"/>
    <mergeCell ref="B6:C6"/>
    <mergeCell ref="B13:C13"/>
    <mergeCell ref="B15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58"/>
    <col collapsed="false" customWidth="true" hidden="false" outlineLevel="0" max="4" min="4" style="0" width="2"/>
  </cols>
  <sheetData>
    <row r="1" customFormat="false" ht="24" hidden="false" customHeight="true" outlineLevel="0" collapsed="false">
      <c r="A1" s="1" t="s">
        <v>23</v>
      </c>
      <c r="B1" s="1"/>
      <c r="C1" s="1"/>
    </row>
    <row r="2" customFormat="false" ht="18" hidden="false" customHeight="true" outlineLevel="0" collapsed="false">
      <c r="A2" s="2" t="s">
        <v>24</v>
      </c>
      <c r="B2" s="2"/>
      <c r="C2" s="2"/>
    </row>
    <row r="4" customFormat="false" ht="30" hidden="false" customHeight="true" outlineLevel="0" collapsed="false">
      <c r="B4" s="4" t="s">
        <v>25</v>
      </c>
      <c r="C4" s="8"/>
    </row>
    <row r="5" customFormat="false" ht="30" hidden="false" customHeight="true" outlineLevel="0" collapsed="false">
      <c r="B5" s="4" t="s">
        <v>26</v>
      </c>
      <c r="C5" s="8"/>
    </row>
    <row r="6" customFormat="false" ht="30" hidden="false" customHeight="true" outlineLevel="0" collapsed="false">
      <c r="B6" s="4" t="s">
        <v>27</v>
      </c>
      <c r="C6" s="8"/>
    </row>
    <row r="7" customFormat="false" ht="30" hidden="false" customHeight="true" outlineLevel="0" collapsed="false">
      <c r="B7" s="4" t="s">
        <v>28</v>
      </c>
      <c r="C7" s="8"/>
    </row>
    <row r="8" customFormat="false" ht="30" hidden="false" customHeight="true" outlineLevel="0" collapsed="false">
      <c r="B8" s="4" t="s">
        <v>29</v>
      </c>
      <c r="C8" s="8"/>
    </row>
    <row r="9" customFormat="false" ht="30" hidden="false" customHeight="true" outlineLevel="0" collapsed="false">
      <c r="B9" s="4" t="s">
        <v>30</v>
      </c>
      <c r="C9" s="8"/>
    </row>
    <row r="11" customFormat="false" ht="18" hidden="false" customHeight="true" outlineLevel="0" collapsed="false">
      <c r="B11" s="9" t="s">
        <v>31</v>
      </c>
      <c r="C11" s="9"/>
    </row>
    <row r="12" customFormat="false" ht="18" hidden="false" customHeight="true" outlineLevel="0" collapsed="false">
      <c r="B12" s="10" t="s">
        <v>25</v>
      </c>
      <c r="C12" s="11" t="s">
        <v>32</v>
      </c>
    </row>
    <row r="13" customFormat="false" ht="18" hidden="false" customHeight="true" outlineLevel="0" collapsed="false">
      <c r="B13" s="10" t="s">
        <v>26</v>
      </c>
      <c r="C13" s="11" t="s">
        <v>33</v>
      </c>
    </row>
    <row r="14" customFormat="false" ht="18" hidden="false" customHeight="true" outlineLevel="0" collapsed="false">
      <c r="B14" s="10" t="s">
        <v>34</v>
      </c>
      <c r="C14" s="11" t="s">
        <v>35</v>
      </c>
    </row>
    <row r="15" customFormat="false" ht="18" hidden="false" customHeight="true" outlineLevel="0" collapsed="false">
      <c r="B15" s="10" t="s">
        <v>36</v>
      </c>
      <c r="C15" s="11" t="s">
        <v>37</v>
      </c>
    </row>
    <row r="16" customFormat="false" ht="18" hidden="false" customHeight="true" outlineLevel="0" collapsed="false">
      <c r="B16" s="10" t="s">
        <v>38</v>
      </c>
      <c r="C16" s="11" t="s">
        <v>39</v>
      </c>
    </row>
    <row r="17" customFormat="false" ht="18" hidden="false" customHeight="true" outlineLevel="0" collapsed="false">
      <c r="B17" s="10" t="s">
        <v>40</v>
      </c>
      <c r="C17" s="11" t="s">
        <v>41</v>
      </c>
    </row>
    <row r="19" customFormat="false" ht="15" hidden="false" customHeight="false" outlineLevel="0" collapsed="false">
      <c r="B19" s="12" t="s">
        <v>42</v>
      </c>
      <c r="C19" s="13" t="str">
        <f aca="false">IF(AND(ISNUMBER(C8),ISNUMBER(C9)),C8*C9,"fill cases and cost above")</f>
        <v>fill cases and cost above</v>
      </c>
    </row>
  </sheetData>
  <mergeCells count="3">
    <mergeCell ref="A1:C1"/>
    <mergeCell ref="A2:C2"/>
    <mergeCell ref="B11:C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4" min="3" style="0" width="18"/>
    <col collapsed="false" customWidth="true" hidden="false" outlineLevel="0" max="5" min="5" style="0" width="20"/>
    <col collapsed="false" customWidth="true" hidden="false" outlineLevel="0" max="6" min="6" style="0" width="2"/>
    <col collapsed="false" customWidth="true" hidden="true" outlineLevel="0" max="7" min="7" style="0" width="13"/>
  </cols>
  <sheetData>
    <row r="1" customFormat="false" ht="24" hidden="false" customHeight="true" outlineLevel="0" collapsed="false">
      <c r="A1" s="1" t="s">
        <v>43</v>
      </c>
      <c r="B1" s="1"/>
      <c r="C1" s="1"/>
      <c r="D1" s="1"/>
      <c r="E1" s="1"/>
    </row>
    <row r="2" customFormat="false" ht="18" hidden="false" customHeight="true" outlineLevel="0" collapsed="false">
      <c r="A2" s="2" t="s">
        <v>44</v>
      </c>
      <c r="B2" s="2"/>
      <c r="C2" s="2"/>
      <c r="D2" s="2"/>
      <c r="E2" s="2"/>
    </row>
    <row r="4" customFormat="false" ht="25.5" hidden="false" customHeight="true" outlineLevel="0" collapsed="false">
      <c r="B4" s="14" t="s">
        <v>45</v>
      </c>
      <c r="C4" s="14" t="s">
        <v>46</v>
      </c>
      <c r="D4" s="14" t="s">
        <v>47</v>
      </c>
      <c r="E4" s="14" t="s">
        <v>48</v>
      </c>
    </row>
    <row r="5" customFormat="false" ht="24" hidden="false" customHeight="true" outlineLevel="0" collapsed="false">
      <c r="B5" s="8"/>
      <c r="C5" s="15"/>
      <c r="D5" s="15"/>
      <c r="E5" s="16" t="str">
        <f aca="false">IF(OR(B5="",C5="",D5=""),"",IF(AND(C5="No",D5="Yes"),"L1 Approve",IF(AND(C5="No",D5="No"),"L2 Act &amp; tell",IF(AND(C5="Yes",D5="Yes"),"L2 Act &amp; tell","L3 Act alone"))))</f>
        <v/>
      </c>
      <c r="G5" s="17" t="str">
        <f aca="false">IF(E5="","",IF(LEFT(E5,2)="L1",1,IF(LEFT(E5,2)="L2",2,3)))</f>
        <v/>
      </c>
    </row>
    <row r="6" customFormat="false" ht="24" hidden="false" customHeight="true" outlineLevel="0" collapsed="false">
      <c r="B6" s="8"/>
      <c r="C6" s="15"/>
      <c r="D6" s="15"/>
      <c r="E6" s="16" t="str">
        <f aca="false">IF(OR(B6="",C6="",D6=""),"",IF(AND(C6="No",D6="Yes"),"L1 Approve",IF(AND(C6="No",D6="No"),"L2 Act &amp; tell",IF(AND(C6="Yes",D6="Yes"),"L2 Act &amp; tell","L3 Act alone"))))</f>
        <v/>
      </c>
      <c r="G6" s="17" t="str">
        <f aca="false">IF(E6="","",IF(LEFT(E6,2)="L1",1,IF(LEFT(E6,2)="L2",2,3)))</f>
        <v/>
      </c>
    </row>
    <row r="7" customFormat="false" ht="24" hidden="false" customHeight="true" outlineLevel="0" collapsed="false">
      <c r="B7" s="8"/>
      <c r="C7" s="15"/>
      <c r="D7" s="15"/>
      <c r="E7" s="16" t="str">
        <f aca="false">IF(OR(B7="",C7="",D7=""),"",IF(AND(C7="No",D7="Yes"),"L1 Approve",IF(AND(C7="No",D7="No"),"L2 Act &amp; tell",IF(AND(C7="Yes",D7="Yes"),"L2 Act &amp; tell","L3 Act alone"))))</f>
        <v/>
      </c>
      <c r="G7" s="17" t="str">
        <f aca="false">IF(E7="","",IF(LEFT(E7,2)="L1",1,IF(LEFT(E7,2)="L2",2,3)))</f>
        <v/>
      </c>
    </row>
    <row r="8" customFormat="false" ht="24" hidden="false" customHeight="true" outlineLevel="0" collapsed="false">
      <c r="B8" s="8"/>
      <c r="C8" s="15"/>
      <c r="D8" s="15"/>
      <c r="E8" s="16" t="str">
        <f aca="false">IF(OR(B8="",C8="",D8=""),"",IF(AND(C8="No",D8="Yes"),"L1 Approve",IF(AND(C8="No",D8="No"),"L2 Act &amp; tell",IF(AND(C8="Yes",D8="Yes"),"L2 Act &amp; tell","L3 Act alone"))))</f>
        <v/>
      </c>
      <c r="G8" s="17" t="str">
        <f aca="false">IF(E8="","",IF(LEFT(E8,2)="L1",1,IF(LEFT(E8,2)="L2",2,3)))</f>
        <v/>
      </c>
    </row>
    <row r="9" customFormat="false" ht="24" hidden="false" customHeight="true" outlineLevel="0" collapsed="false">
      <c r="B9" s="8"/>
      <c r="C9" s="15"/>
      <c r="D9" s="15"/>
      <c r="E9" s="16" t="str">
        <f aca="false">IF(OR(B9="",C9="",D9=""),"",IF(AND(C9="No",D9="Yes"),"L1 Approve",IF(AND(C9="No",D9="No"),"L2 Act &amp; tell",IF(AND(C9="Yes",D9="Yes"),"L2 Act &amp; tell","L3 Act alone"))))</f>
        <v/>
      </c>
      <c r="G9" s="17" t="str">
        <f aca="false">IF(E9="","",IF(LEFT(E9,2)="L1",1,IF(LEFT(E9,2)="L2",2,3)))</f>
        <v/>
      </c>
    </row>
    <row r="10" customFormat="false" ht="24" hidden="false" customHeight="true" outlineLevel="0" collapsed="false">
      <c r="B10" s="8"/>
      <c r="C10" s="15"/>
      <c r="D10" s="15"/>
      <c r="E10" s="16" t="str">
        <f aca="false">IF(OR(B10="",C10="",D10=""),"",IF(AND(C10="No",D10="Yes"),"L1 Approve",IF(AND(C10="No",D10="No"),"L2 Act &amp; tell",IF(AND(C10="Yes",D10="Yes"),"L2 Act &amp; tell","L3 Act alone"))))</f>
        <v/>
      </c>
      <c r="G10" s="17" t="str">
        <f aca="false">IF(E10="","",IF(LEFT(E10,2)="L1",1,IF(LEFT(E10,2)="L2",2,3)))</f>
        <v/>
      </c>
    </row>
    <row r="11" customFormat="false" ht="24" hidden="false" customHeight="true" outlineLevel="0" collapsed="false">
      <c r="B11" s="8"/>
      <c r="C11" s="15"/>
      <c r="D11" s="15"/>
      <c r="E11" s="16" t="str">
        <f aca="false">IF(OR(B11="",C11="",D11=""),"",IF(AND(C11="No",D11="Yes"),"L1 Approve",IF(AND(C11="No",D11="No"),"L2 Act &amp; tell",IF(AND(C11="Yes",D11="Yes"),"L2 Act &amp; tell","L3 Act alone"))))</f>
        <v/>
      </c>
      <c r="G11" s="17" t="str">
        <f aca="false">IF(E11="","",IF(LEFT(E11,2)="L1",1,IF(LEFT(E11,2)="L2",2,3)))</f>
        <v/>
      </c>
    </row>
    <row r="12" customFormat="false" ht="24" hidden="false" customHeight="true" outlineLevel="0" collapsed="false">
      <c r="B12" s="8"/>
      <c r="C12" s="15"/>
      <c r="D12" s="15"/>
      <c r="E12" s="16" t="str">
        <f aca="false">IF(OR(B12="",C12="",D12=""),"",IF(AND(C12="No",D12="Yes"),"L1 Approve",IF(AND(C12="No",D12="No"),"L2 Act &amp; tell",IF(AND(C12="Yes",D12="Yes"),"L2 Act &amp; tell","L3 Act alone"))))</f>
        <v/>
      </c>
      <c r="G12" s="17" t="str">
        <f aca="false">IF(E12="","",IF(LEFT(E12,2)="L1",1,IF(LEFT(E12,2)="L2",2,3)))</f>
        <v/>
      </c>
    </row>
    <row r="14" customFormat="false" ht="27.75" hidden="false" customHeight="true" outlineLevel="0" collapsed="false">
      <c r="B14" s="12" t="s">
        <v>49</v>
      </c>
      <c r="C14" s="18" t="str">
        <f aca="false">IF(COUNT(G5:G12)=0,"list actions above",CHOOSE(MIN(G5:G12),"L1 Approve first","L2 Act and tell","L3 Act alone"))</f>
        <v>list actions above</v>
      </c>
      <c r="D14" s="18"/>
    </row>
    <row r="15" customFormat="false" ht="15" hidden="false" customHeight="false" outlineLevel="0" collapsed="false">
      <c r="B15" s="7" t="s">
        <v>50</v>
      </c>
      <c r="C15" s="19" t="str">
        <f aca="false">IF(COUNT(G5:G12)=0,"",IF(MIN(G5:G12)&lt;3,"Yes","No, only reads/suggests"))</f>
        <v/>
      </c>
    </row>
    <row r="17" customFormat="false" ht="30" hidden="false" customHeight="true" outlineLevel="0" collapsed="false">
      <c r="B17" s="20" t="s">
        <v>51</v>
      </c>
      <c r="C17" s="20"/>
      <c r="D17" s="20"/>
      <c r="E17" s="20"/>
    </row>
  </sheetData>
  <mergeCells count="4">
    <mergeCell ref="A1:E1"/>
    <mergeCell ref="A2:E2"/>
    <mergeCell ref="C14:D14"/>
    <mergeCell ref="B17:E17"/>
  </mergeCells>
  <dataValidations count="1">
    <dataValidation allowBlank="true" errorStyle="stop" operator="between" showDropDown="false" showErrorMessage="false" showInputMessage="false" sqref="C5:D12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40"/>
    <col collapsed="false" customWidth="true" hidden="false" outlineLevel="0" max="5" min="5" style="0" width="2"/>
  </cols>
  <sheetData>
    <row r="1" customFormat="false" ht="24" hidden="false" customHeight="true" outlineLevel="0" collapsed="false">
      <c r="A1" s="1" t="s">
        <v>52</v>
      </c>
      <c r="B1" s="1"/>
      <c r="C1" s="1"/>
      <c r="D1" s="1"/>
    </row>
    <row r="2" customFormat="false" ht="18" hidden="false" customHeight="true" outlineLevel="0" collapsed="false">
      <c r="A2" s="2" t="s">
        <v>53</v>
      </c>
      <c r="B2" s="2"/>
      <c r="C2" s="2"/>
      <c r="D2" s="2"/>
    </row>
    <row r="4" customFormat="false" ht="19.5" hidden="false" customHeight="true" outlineLevel="0" collapsed="false">
      <c r="B4" s="21" t="s">
        <v>54</v>
      </c>
    </row>
    <row r="5" customFormat="false" ht="25.5" hidden="false" customHeight="true" outlineLevel="0" collapsed="false">
      <c r="B5" s="22" t="s">
        <v>55</v>
      </c>
      <c r="C5" s="23" t="str">
        <f aca="false">IF(LEFT('2 Actions'!C15,3)="Yes","Yes",IF('2 Actions'!C15="","","No"))</f>
        <v/>
      </c>
    </row>
    <row r="6" customFormat="false" ht="25.5" hidden="false" customHeight="true" outlineLevel="0" collapsed="false">
      <c r="B6" s="22" t="s">
        <v>56</v>
      </c>
      <c r="C6" s="15"/>
    </row>
    <row r="7" customFormat="false" ht="25.5" hidden="false" customHeight="true" outlineLevel="0" collapsed="false">
      <c r="B7" s="22" t="s">
        <v>57</v>
      </c>
      <c r="C7" s="15"/>
    </row>
    <row r="8" customFormat="false" ht="25.5" hidden="false" customHeight="true" outlineLevel="0" collapsed="false">
      <c r="B8" s="22" t="s">
        <v>58</v>
      </c>
      <c r="C8" s="15"/>
    </row>
    <row r="10" customFormat="false" ht="15" hidden="false" customHeight="false" outlineLevel="0" collapsed="false">
      <c r="B10" s="24" t="s">
        <v>59</v>
      </c>
    </row>
    <row r="11" customFormat="false" ht="24" hidden="false" customHeight="true" outlineLevel="0" collapsed="false">
      <c r="B11" s="14" t="s">
        <v>60</v>
      </c>
      <c r="C11" s="14" t="s">
        <v>61</v>
      </c>
      <c r="D11" s="14" t="s">
        <v>62</v>
      </c>
    </row>
    <row r="12" customFormat="false" ht="24" hidden="false" customHeight="true" outlineLevel="0" collapsed="false">
      <c r="B12" s="4" t="s">
        <v>63</v>
      </c>
      <c r="C12" s="25" t="s">
        <v>64</v>
      </c>
      <c r="D12" s="26" t="str">
        <f aca="false">"OWED"</f>
        <v>OWED</v>
      </c>
    </row>
    <row r="13" customFormat="false" ht="24" hidden="false" customHeight="true" outlineLevel="0" collapsed="false">
      <c r="B13" s="4" t="s">
        <v>65</v>
      </c>
      <c r="C13" s="25" t="s">
        <v>64</v>
      </c>
      <c r="D13" s="26" t="str">
        <f aca="false">"OWED"</f>
        <v>OWED</v>
      </c>
    </row>
    <row r="14" customFormat="false" ht="24" hidden="false" customHeight="true" outlineLevel="0" collapsed="false">
      <c r="B14" s="4" t="s">
        <v>66</v>
      </c>
      <c r="C14" s="25" t="s">
        <v>64</v>
      </c>
      <c r="D14" s="26" t="str">
        <f aca="false">"OWED"</f>
        <v>OWED</v>
      </c>
    </row>
    <row r="15" customFormat="false" ht="24" hidden="false" customHeight="true" outlineLevel="0" collapsed="false">
      <c r="B15" s="4" t="s">
        <v>67</v>
      </c>
      <c r="C15" s="25" t="s">
        <v>64</v>
      </c>
      <c r="D15" s="26" t="str">
        <f aca="false">"OWED"</f>
        <v>OWED</v>
      </c>
    </row>
    <row r="16" customFormat="false" ht="24" hidden="false" customHeight="true" outlineLevel="0" collapsed="false">
      <c r="B16" s="4" t="s">
        <v>68</v>
      </c>
      <c r="C16" s="25" t="s">
        <v>64</v>
      </c>
      <c r="D16" s="26" t="str">
        <f aca="false">"OWED"</f>
        <v>OWED</v>
      </c>
    </row>
    <row r="17" customFormat="false" ht="24" hidden="false" customHeight="true" outlineLevel="0" collapsed="false">
      <c r="B17" s="22" t="s">
        <v>69</v>
      </c>
      <c r="C17" s="27" t="s">
        <v>70</v>
      </c>
      <c r="D17" s="26" t="str">
        <f aca="false">IF(C6="Yes","OWED — output is probabilistic",IF(C6="No","skip","answer trigger 2"))</f>
        <v>answer trigger 2</v>
      </c>
    </row>
    <row r="18" customFormat="false" ht="24" hidden="false" customHeight="true" outlineLevel="0" collapsed="false">
      <c r="B18" s="22" t="s">
        <v>71</v>
      </c>
      <c r="C18" s="27" t="s">
        <v>70</v>
      </c>
      <c r="D18" s="26" t="str">
        <f aca="false">IF(C7="Yes","OWED — decisions still open",IF(C7="No","skip","answer trigger 3"))</f>
        <v>answer trigger 3</v>
      </c>
    </row>
    <row r="19" customFormat="false" ht="24" hidden="false" customHeight="true" outlineLevel="0" collapsed="false">
      <c r="B19" s="22" t="s">
        <v>72</v>
      </c>
      <c r="C19" s="27" t="s">
        <v>70</v>
      </c>
      <c r="D19" s="26" t="str">
        <f aca="false">IF(C8="Yes","OWED — runs with other agents",IF(C8="No","skip","answer trigger 4"))</f>
        <v>answer trigger 4</v>
      </c>
    </row>
    <row r="20" customFormat="false" ht="24" hidden="false" customHeight="true" outlineLevel="0" collapsed="false">
      <c r="B20" s="22" t="s">
        <v>73</v>
      </c>
      <c r="C20" s="27" t="s">
        <v>70</v>
      </c>
      <c r="D20" s="26" t="str">
        <f aca="false">IF(AND(C5="Yes",C6="Yes"),"OWED — a model acts",IF(OR(C5="No",C6="No"),"skip","answer triggers 1 and 2"))</f>
        <v>answer triggers 1 and 2</v>
      </c>
    </row>
    <row r="21" customFormat="false" ht="24" hidden="false" customHeight="true" outlineLevel="0" collapsed="false">
      <c r="B21" s="22" t="s">
        <v>74</v>
      </c>
      <c r="C21" s="28" t="s">
        <v>75</v>
      </c>
      <c r="D21" s="26" t="str">
        <f aca="false">"add only if an action is high-impact"</f>
        <v>add only if an action is high-impact</v>
      </c>
    </row>
    <row r="23" customFormat="false" ht="15" hidden="false" customHeight="false" outlineLevel="0" collapsed="false">
      <c r="B23" s="12" t="s">
        <v>76</v>
      </c>
      <c r="C23" s="29" t="n">
        <f aca="false">5+COUNTIF(D17:D20,"OWED*")</f>
        <v>5</v>
      </c>
    </row>
    <row r="25" customFormat="false" ht="30" hidden="false" customHeight="true" outlineLevel="0" collapsed="false">
      <c r="B25" s="30" t="s">
        <v>77</v>
      </c>
      <c r="C25" s="30"/>
      <c r="D25" s="30"/>
    </row>
  </sheetData>
  <mergeCells count="3">
    <mergeCell ref="A1:D1"/>
    <mergeCell ref="A2:D2"/>
    <mergeCell ref="B25:D25"/>
  </mergeCells>
  <dataValidations count="1">
    <dataValidation allowBlank="true" errorStyle="stop" operator="between" showDropDown="false" showErrorMessage="false" showInputMessage="false" sqref="C6:C8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2"/>
    <col collapsed="false" customWidth="true" hidden="false" outlineLevel="0" max="3" min="3" style="0" width="22"/>
    <col collapsed="false" customWidth="true" hidden="false" outlineLevel="0" max="4" min="4" style="0" width="44"/>
    <col collapsed="false" customWidth="true" hidden="false" outlineLevel="0" max="5" min="5" style="0" width="2"/>
  </cols>
  <sheetData>
    <row r="1" customFormat="false" ht="24" hidden="false" customHeight="true" outlineLevel="0" collapsed="false">
      <c r="A1" s="1" t="s">
        <v>78</v>
      </c>
      <c r="B1" s="1"/>
      <c r="C1" s="1"/>
      <c r="D1" s="1"/>
    </row>
    <row r="2" customFormat="false" ht="18" hidden="false" customHeight="true" outlineLevel="0" collapsed="false">
      <c r="A2" s="2" t="s">
        <v>79</v>
      </c>
      <c r="B2" s="2"/>
      <c r="C2" s="2"/>
      <c r="D2" s="2"/>
    </row>
    <row r="4" customFormat="false" ht="15" hidden="false" customHeight="false" outlineLevel="0" collapsed="false">
      <c r="B4" s="12" t="s">
        <v>80</v>
      </c>
      <c r="C4" s="31"/>
      <c r="D4" s="32" t="s">
        <v>81</v>
      </c>
    </row>
    <row r="5" customFormat="false" ht="15" hidden="false" customHeight="false" outlineLevel="0" collapsed="false">
      <c r="B5" s="12" t="s">
        <v>82</v>
      </c>
      <c r="C5" s="31"/>
      <c r="D5" s="32" t="s">
        <v>83</v>
      </c>
    </row>
    <row r="7" customFormat="false" ht="15" hidden="false" customHeight="false" outlineLevel="0" collapsed="false">
      <c r="B7" s="12" t="s">
        <v>84</v>
      </c>
      <c r="C7" s="33" t="str">
        <f aca="false">IF(AND(ISNUMBER(C4),ISNUMBER(C5),C4&gt;0),C5/C4,"fill both above")</f>
        <v>fill both above</v>
      </c>
      <c r="D7" s="32" t="s">
        <v>85</v>
      </c>
    </row>
    <row r="8" customFormat="false" ht="16.15" hidden="false" customHeight="false" outlineLevel="0" collapsed="false">
      <c r="B8" s="34" t="s">
        <v>86</v>
      </c>
      <c r="C8" s="35" t="str">
        <f aca="false">IF(ISNUMBER(C7),1-1/(C7+1),"")</f>
        <v/>
      </c>
      <c r="D8" s="32" t="s">
        <v>87</v>
      </c>
    </row>
    <row r="10" customFormat="false" ht="15" hidden="false" customHeight="false" outlineLevel="0" collapsed="false">
      <c r="B10" s="12" t="s">
        <v>88</v>
      </c>
      <c r="C10" s="15" t="s">
        <v>89</v>
      </c>
      <c r="D10" s="32" t="s">
        <v>90</v>
      </c>
    </row>
    <row r="11" customFormat="false" ht="15" hidden="false" customHeight="false" outlineLevel="0" collapsed="false">
      <c r="B11" s="36" t="s">
        <v>91</v>
      </c>
      <c r="C11" s="37" t="n">
        <f aca="false">IF(C10="Yes",C4,C5)</f>
        <v>0</v>
      </c>
      <c r="D11" s="32" t="s">
        <v>92</v>
      </c>
    </row>
    <row r="12" customFormat="false" ht="16.15" hidden="false" customHeight="false" outlineLevel="0" collapsed="false">
      <c r="B12" s="38" t="s">
        <v>93</v>
      </c>
      <c r="C12" s="39" t="str">
        <f aca="false">IF(AND(ISNUMBER(C4),ISNUMBER(C11),C4&gt;0),1-1/(C11/C4+1),"")</f>
        <v/>
      </c>
      <c r="D12" s="32" t="s">
        <v>94</v>
      </c>
    </row>
  </sheetData>
  <mergeCells count="2">
    <mergeCell ref="A1:D1"/>
    <mergeCell ref="A2:D2"/>
  </mergeCells>
  <dataValidations count="1">
    <dataValidation allowBlank="false" errorStyle="stop" operator="between" showDropDown="false" showErrorMessage="false" showInputMessage="false" sqref="C10" type="list">
      <formula1>"No,Yes"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66"/>
    <col collapsed="false" customWidth="true" hidden="false" outlineLevel="0" max="4" min="4" style="0" width="2"/>
  </cols>
  <sheetData>
    <row r="1" customFormat="false" ht="24" hidden="false" customHeight="true" outlineLevel="0" collapsed="false">
      <c r="A1" s="1" t="s">
        <v>95</v>
      </c>
      <c r="B1" s="1"/>
      <c r="C1" s="1"/>
    </row>
    <row r="2" customFormat="false" ht="18" hidden="false" customHeight="true" outlineLevel="0" collapsed="false">
      <c r="A2" s="2" t="s">
        <v>96</v>
      </c>
      <c r="B2" s="2"/>
      <c r="C2" s="2"/>
    </row>
    <row r="4" customFormat="false" ht="25.5" hidden="false" customHeight="true" outlineLevel="0" collapsed="false">
      <c r="B4" s="40" t="s">
        <v>97</v>
      </c>
      <c r="C4" s="41" t="n">
        <f aca="false">'1 Feature'!C4</f>
        <v>0</v>
      </c>
    </row>
    <row r="5" customFormat="false" ht="25.5" hidden="false" customHeight="true" outlineLevel="0" collapsed="false">
      <c r="B5" s="40" t="s">
        <v>26</v>
      </c>
      <c r="C5" s="41" t="n">
        <f aca="false">'1 Feature'!C5</f>
        <v>0</v>
      </c>
    </row>
    <row r="6" customFormat="false" ht="25.5" hidden="false" customHeight="true" outlineLevel="0" collapsed="false">
      <c r="B6" s="40" t="s">
        <v>98</v>
      </c>
      <c r="C6" s="41" t="str">
        <f aca="false">IF('1 Feature'!C6="","(fill the problem on tab 1)",'1 Feature'!C6)</f>
        <v>(fill the problem on tab 1)</v>
      </c>
    </row>
    <row r="7" customFormat="false" ht="25.5" hidden="false" customHeight="true" outlineLevel="0" collapsed="false">
      <c r="B7" s="40" t="s">
        <v>99</v>
      </c>
      <c r="C7" s="41" t="n">
        <f aca="false">'1 Feature'!C7</f>
        <v>0</v>
      </c>
    </row>
    <row r="8" customFormat="false" ht="25.5" hidden="false" customHeight="true" outlineLevel="0" collapsed="false">
      <c r="B8" s="40" t="s">
        <v>100</v>
      </c>
      <c r="C8" s="41" t="str">
        <f aca="false">'2 Actions'!C14</f>
        <v>list actions above</v>
      </c>
    </row>
    <row r="9" customFormat="false" ht="25.5" hidden="false" customHeight="true" outlineLevel="0" collapsed="false">
      <c r="B9" s="40" t="s">
        <v>67</v>
      </c>
      <c r="C9" s="41" t="str">
        <f aca="false">IF('4 Acceptance'!C10="Yes",TEXT('4 Acceptance'!C12,"0%")&amp;" per slice (with a hold)",IF('4 Acceptance'!C8="","(fill tab 4)",TEXT('4 Acceptance'!C8,"0%")&amp;" per slice"))</f>
        <v>(fill tab 4)</v>
      </c>
    </row>
    <row r="10" customFormat="false" ht="25.5" hidden="false" customHeight="true" outlineLevel="0" collapsed="false">
      <c r="B10" s="40" t="s">
        <v>101</v>
      </c>
      <c r="C10" s="41" t="str">
        <f aca="false">'3 Artefacts'!C23&amp;" of 10"</f>
        <v>5 of 10</v>
      </c>
    </row>
    <row r="12" customFormat="false" ht="15" hidden="false" customHeight="false" outlineLevel="0" collapsed="false">
      <c r="B12" s="20" t="s">
        <v>102</v>
      </c>
      <c r="C12" s="20"/>
    </row>
  </sheetData>
  <mergeCells count="3">
    <mergeCell ref="A1:C1"/>
    <mergeCell ref="A2:C2"/>
    <mergeCell ref="B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0"/>
    <col collapsed="false" customWidth="true" hidden="false" outlineLevel="0" max="3" min="3" style="0" width="2"/>
  </cols>
  <sheetData>
    <row r="1" customFormat="false" ht="24" hidden="false" customHeight="true" outlineLevel="0" collapsed="false">
      <c r="A1" s="1" t="s">
        <v>103</v>
      </c>
      <c r="B1" s="1"/>
    </row>
    <row r="2" customFormat="false" ht="18" hidden="false" customHeight="true" outlineLevel="0" collapsed="false">
      <c r="A2" s="2" t="s">
        <v>104</v>
      </c>
      <c r="B2" s="2"/>
    </row>
    <row r="4" customFormat="false" ht="199.5" hidden="false" customHeight="true" outlineLevel="0" collapsed="false">
      <c r="B4" s="42" t="str">
        <f aca="false">_xlfn.TEXTJOIN(CHAR(10),TRUE(),"AGENT: "&amp;'1 Feature'!C4&amp;" ("&amp;'1 Feature'!C5&amp;")","","JOB: "&amp;'1 Feature'!C6,"SERVES: "&amp;'1 Feature'!C7,"AUTONOMY CEILING: "&amp;'2 Actions'!C14,"ACCEPTANCE BAR: "&amp;IF('4 Acceptance'!C10="Yes",TEXT('4 Acceptance'!C12,"0%")&amp;" per slice (hold on risky action)",TEXT('4 Acceptance'!C8,"0%")&amp;" per slice"),"ARTEFACTS OWED: "&amp;'3 Artefacts'!C23&amp;" of 10","","MANDATORY: problem brief, agent spec, autonomy line, acceptance bar, tool contract","CONDITIONAL OWED: "&amp;_xlfn.TEXTJOIN(", ",TRUE(),IF(LEFT('3 Artefacts'!D17,4)="OWED","statistical acceptance plan",""),IF(LEFT('3 Artefacts'!D18,4)="OWED","open-decisions log",""),IF(LEFT('3 Artefacts'!D19,4)="OWED","registry entry",""),IF(LEFT('3 Artefacts'!D20,4)="OWED","autonomy spec","")))</f>
        <v>AGENT:  ()
JOB: 
SERVES: 
AUTONOMY CEILING: list actions above
ACCEPTANCE BAR:  per slice
ARTEFACTS OWED: 5 of 10
MANDATORY: problem brief, agent spec, autonomy line, acceptance bar, tool contract
CONDITIONAL OWED: 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2026-08-31T11:22:38Z</dcterms:created>
  <dc:creator>openpyxl</dc:creator>
  <dc:description/>
  <dc:language>en-US</dc:language>
  <cp:lastModifiedBy/>
  <dcterms:modified xsi:type="dcterms:W3CDTF">2026-08-31T11:22:38Z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