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Query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<sst xmlns="http://schemas.openxmlformats.org/spreadsheetml/2006/main" count="29" uniqueCount="29">
  <si>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MINI-PROJECT · COST ANALYSIS</t>
  </si>
  <si>
    <t xml:space="preserve">Per-Query Cost Log</t>
  </si>
  <si>
    <t xml:space="preserve">Log every query you run during testing. The right side projects your monthly cost.</t>
  </si>
  <si>
    <t xml:space="preserve">PRICING (replace with your model)</t>
  </si>
  <si>
    <t xml:space="preserve">USER-VOLUME TIERS (queries / day)</t>
  </si>
  <si>
    <t xml:space="preserve">Input $/1M tokens</t>
  </si>
  <si>
    <t xml:space="preserve">Tier 1 (small)</t>
  </si>
  <si>
    <t xml:space="preserve">Output $/1M tokens</t>
  </si>
  <si>
    <t xml:space="preserve">Tier 2 (medium)</t>
  </si>
  <si>
    <t xml:space="preserve">Tier 3 (large)</t>
  </si>
  <si>
    <t xml:space="preserve">#</t>
  </si>
  <si>
    <t xml:space="preserve">Question (short)</t>
  </si>
  <si>
    <t xml:space="preserve">Input tokens</t>
  </si>
  <si>
    <t xml:space="preserve">Output tokens</t>
  </si>
  <si>
    <t xml:space="preserve">Tool used?</t>
  </si>
  <si>
    <t xml:space="preserve">Cost ($)</t>
  </si>
  <si>
    <t xml:space="preserve">Blocked?</t>
  </si>
  <si>
    <t xml:space="preserve">TOTALS / 10 QUERIES</t>
  </si>
  <si>
    <t xml:space="preserve">MONTHLY PROJECTIONS</t>
  </si>
  <si>
    <t xml:space="preserve">Total input tokens</t>
  </si>
  <si>
    <t xml:space="preserve">Tier 1 (small) / month</t>
  </si>
  <si>
    <t xml:space="preserve">Total output tokens</t>
  </si>
  <si>
    <t xml:space="preserve">Tier 2 (medium) / month</t>
  </si>
  <si>
    <t xml:space="preserve">Total cost (10 queries)</t>
  </si>
  <si>
    <t xml:space="preserve">Tier 3 (large) / month</t>
  </si>
  <si>
    <t xml:space="preserve">Average cost per query</t>
  </si>
  <si>
    <t xml:space="preserve">REFLECTION</t>
  </si>
  <si>
    <t xml:space="preserve">Which tier surprised you the most?</t>
  </si>
  <si>
    <t xml:space="preserve">If your cost is too high, what's the first thing you'd change?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</si>
</sst>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0.00"/>
    <numFmt numFmtId="166" formatCode="\$0.000000"/>
    <numFmt numFmtId="167" formatCode="#,##0"/>
    <numFmt numFmtId="168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1"/>
      <color rgb="FFB45309"/>
      <name val="Calibri"/>
      <family val="0"/>
      <charset val="1"/>
    </font>
    <font>
      <b val="true"/>
      <sz val="12"/>
      <color rgb="FFB4530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BEAFE"/>
        <bgColor rgb="FFE2E8F0"/>
      </patternFill>
    </fill>
    <fill>
      <patternFill patternType="solid">
        <fgColor rgb="FF0F172A"/>
        <bgColor rgb="FF000000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15" hidden="false" customHeight="false" outlineLevel="0" collapsed="false">
      <c r="B7" s="0" t="s">
        <v>5</v>
      </c>
      <c r="C7" s="5" t="n">
        <v>0.06</v>
      </c>
      <c r="E7" s="6" t="s">
        <v>6</v>
      </c>
      <c r="F7" s="7" t="n">
        <v>100</v>
      </c>
    </row>
    <row r="8" customFormat="false" ht="15" hidden="false" customHeight="false" outlineLevel="0" collapsed="false">
      <c r="B8" s="0" t="s">
        <v>7</v>
      </c>
      <c r="C8" s="5" t="n">
        <v>0.24</v>
      </c>
      <c r="E8" s="6" t="s">
        <v>8</v>
      </c>
      <c r="F8" s="7" t="n">
        <v>1000</v>
      </c>
    </row>
    <row r="9" customFormat="false" ht="15" hidden="false" customHeight="false" outlineLevel="0" collapsed="false">
      <c r="E9" s="0" t="s">
        <v>9</v>
      </c>
      <c r="F9" s="7" t="n">
        <v>10000</v>
      </c>
    </row>
    <row r="12" customFormat="false" ht="15" hidden="false" customHeight="false" outlineLevel="0" collapsed="false">
      <c r="B12" s="8" t="s">
        <v>10</v>
      </c>
      <c r="C12" s="8" t="s">
        <v>11</v>
      </c>
      <c r="D12" s="8" t="s">
        <v>12</v>
      </c>
      <c r="E12" s="8" t="s">
        <v>13</v>
      </c>
      <c r="F12" s="8" t="s">
        <v>14</v>
      </c>
      <c r="G12" s="8" t="s">
        <v>15</v>
      </c>
      <c r="H12" s="8" t="s">
        <v>16</v>
      </c>
    </row>
    <row r="13" customFormat="false" ht="15" hidden="false" customHeight="false" outlineLevel="0" collapsed="false">
      <c r="B13" s="9" t="n">
        <v>1</v>
      </c>
      <c r="C13" s="10"/>
      <c r="D13" s="10"/>
      <c r="E13" s="10"/>
      <c r="F13" s="10"/>
      <c r="G13" s="11" t="n">
        <f aca="false">IFERROR((D13/1000000)*$C$7+(E13/1000000)*$C$8,0)</f>
        <v>0</v>
      </c>
      <c r="H13" s="10"/>
    </row>
    <row r="14" customFormat="false" ht="15" hidden="false" customHeight="false" outlineLevel="0" collapsed="false">
      <c r="B14" s="9" t="n">
        <v>2</v>
      </c>
      <c r="C14" s="10"/>
      <c r="D14" s="10"/>
      <c r="E14" s="10"/>
      <c r="F14" s="10"/>
      <c r="G14" s="11" t="n">
        <f aca="false">IFERROR((D14/1000000)*$C$7+(E14/1000000)*$C$8,0)</f>
        <v>0</v>
      </c>
      <c r="H14" s="10"/>
    </row>
    <row r="15" customFormat="false" ht="15" hidden="false" customHeight="false" outlineLevel="0" collapsed="false">
      <c r="B15" s="9" t="n">
        <v>3</v>
      </c>
      <c r="C15" s="10"/>
      <c r="D15" s="10"/>
      <c r="E15" s="10"/>
      <c r="F15" s="10"/>
      <c r="G15" s="11" t="n">
        <f aca="false">IFERROR((D15/1000000)*$C$7+(E15/1000000)*$C$8,0)</f>
        <v>0</v>
      </c>
      <c r="H15" s="10"/>
    </row>
    <row r="16" customFormat="false" ht="15" hidden="false" customHeight="false" outlineLevel="0" collapsed="false">
      <c r="B16" s="9" t="n">
        <v>4</v>
      </c>
      <c r="C16" s="10"/>
      <c r="D16" s="10"/>
      <c r="E16" s="10"/>
      <c r="F16" s="10"/>
      <c r="G16" s="11" t="n">
        <f aca="false">IFERROR((D16/1000000)*$C$7+(E16/1000000)*$C$8,0)</f>
        <v>0</v>
      </c>
      <c r="H16" s="10"/>
    </row>
    <row r="17" customFormat="false" ht="15" hidden="false" customHeight="false" outlineLevel="0" collapsed="false">
      <c r="B17" s="9" t="n">
        <v>5</v>
      </c>
      <c r="C17" s="10"/>
      <c r="D17" s="10"/>
      <c r="E17" s="10"/>
      <c r="F17" s="10"/>
      <c r="G17" s="11" t="n">
        <f aca="false">IFERROR((D17/1000000)*$C$7+(E17/1000000)*$C$8,0)</f>
        <v>0</v>
      </c>
      <c r="H17" s="10"/>
    </row>
    <row r="18" customFormat="false" ht="15" hidden="false" customHeight="false" outlineLevel="0" collapsed="false">
      <c r="B18" s="9" t="n">
        <v>6</v>
      </c>
      <c r="C18" s="10"/>
      <c r="D18" s="10"/>
      <c r="E18" s="10"/>
      <c r="F18" s="10"/>
      <c r="G18" s="11" t="n">
        <f aca="false">IFERROR((D18/1000000)*$C$7+(E18/1000000)*$C$8,0)</f>
        <v>0</v>
      </c>
      <c r="H18" s="10"/>
    </row>
    <row r="19" customFormat="false" ht="15" hidden="false" customHeight="false" outlineLevel="0" collapsed="false">
      <c r="B19" s="9" t="n">
        <v>7</v>
      </c>
      <c r="C19" s="10"/>
      <c r="D19" s="10"/>
      <c r="E19" s="10"/>
      <c r="F19" s="10"/>
      <c r="G19" s="11" t="n">
        <f aca="false">IFERROR((D19/1000000)*$C$7+(E19/1000000)*$C$8,0)</f>
        <v>0</v>
      </c>
      <c r="H19" s="10"/>
    </row>
    <row r="20" customFormat="false" ht="15" hidden="false" customHeight="false" outlineLevel="0" collapsed="false">
      <c r="B20" s="9" t="n">
        <v>8</v>
      </c>
      <c r="C20" s="10"/>
      <c r="D20" s="10"/>
      <c r="E20" s="10"/>
      <c r="F20" s="10"/>
      <c r="G20" s="11" t="n">
        <f aca="false">IFERROR((D20/1000000)*$C$7+(E20/1000000)*$C$8,0)</f>
        <v>0</v>
      </c>
      <c r="H20" s="10"/>
    </row>
    <row r="21" customFormat="false" ht="15" hidden="false" customHeight="false" outlineLevel="0" collapsed="false">
      <c r="B21" s="9" t="n">
        <v>9</v>
      </c>
      <c r="C21" s="10"/>
      <c r="D21" s="10"/>
      <c r="E21" s="10"/>
      <c r="F21" s="10"/>
      <c r="G21" s="11" t="n">
        <f aca="false">IFERROR((D21/1000000)*$C$7+(E21/1000000)*$C$8,0)</f>
        <v>0</v>
      </c>
      <c r="H21" s="10"/>
    </row>
    <row r="22" customFormat="false" ht="15" hidden="false" customHeight="false" outlineLevel="0" collapsed="false">
      <c r="B22" s="9" t="n">
        <v>10</v>
      </c>
      <c r="C22" s="10"/>
      <c r="D22" s="10"/>
      <c r="E22" s="10"/>
      <c r="F22" s="10"/>
      <c r="G22" s="11" t="n">
        <f aca="false">IFERROR((D22/1000000)*$C$7+(E22/1000000)*$C$8,0)</f>
        <v>0</v>
      </c>
      <c r="H22" s="10"/>
    </row>
    <row r="24" customFormat="false" ht="15" hidden="false" customHeight="false" outlineLevel="0" collapsed="false">
      <c r="B24" s="4" t="s">
        <v>17</v>
      </c>
      <c r="E24" s="4" t="s">
        <v>18</v>
      </c>
    </row>
    <row r="25" customFormat="false" ht="15" hidden="false" customHeight="false" outlineLevel="0" collapsed="false">
      <c r="B25" s="0" t="s">
        <v>19</v>
      </c>
      <c r="C25" s="12" t="n">
        <f aca="false">SUM(D13:D22)</f>
        <v>0</v>
      </c>
      <c r="E25" s="6" t="s">
        <v>20</v>
      </c>
      <c r="F25" s="13" t="n">
        <f aca="false">$C$28*$F$7*30</f>
        <v>0</v>
      </c>
    </row>
    <row r="26" customFormat="false" ht="15" hidden="false" customHeight="false" outlineLevel="0" collapsed="false">
      <c r="B26" s="0" t="s">
        <v>21</v>
      </c>
      <c r="C26" s="12" t="n">
        <f aca="false">SUM(E13:E22)</f>
        <v>0</v>
      </c>
      <c r="E26" s="6" t="s">
        <v>22</v>
      </c>
      <c r="F26" s="14" t="n">
        <f aca="false">$C$28*$F$8*30</f>
        <v>0</v>
      </c>
    </row>
    <row r="27" customFormat="false" ht="15" hidden="false" customHeight="false" outlineLevel="0" collapsed="false">
      <c r="B27" s="0" t="s">
        <v>23</v>
      </c>
      <c r="C27" s="15" t="n">
        <f aca="false">SUM(G13:G22)</f>
        <v>0</v>
      </c>
      <c r="E27" s="6" t="s">
        <v>24</v>
      </c>
      <c r="F27" s="14" t="n">
        <f aca="false">$C$28*$F$9*30</f>
        <v>0</v>
      </c>
    </row>
    <row r="28" customFormat="false" ht="15" hidden="false" customHeight="false" outlineLevel="0" collapsed="false">
      <c r="B28" s="0" t="s">
        <v>25</v>
      </c>
      <c r="C28" s="16" t="n">
        <f aca="false">IFERROR(C27/COUNT(G13:G22),0)</f>
        <v>0</v>
      </c>
    </row>
    <row r="31" customFormat="false" ht="15" hidden="false" customHeight="false" outlineLevel="0" collapsed="false">
      <c r="B31" s="4" t="s">
        <v>26</v>
      </c>
    </row>
    <row r="32" customFormat="false" ht="82.05" hidden="false" customHeight="false" outlineLevel="0" collapsed="false">
      <c r="B32" s="17" t="s">
        <v>27</v>
      </c>
    </row>
    <row r="33" customFormat="false" ht="27.75" hidden="false" customHeight="true" outlineLevel="0" collapsed="false">
      <c r="B33" s="7"/>
      <c r="C33" s="7"/>
      <c r="D33" s="7"/>
      <c r="E33" s="7"/>
      <c r="F33" s="7"/>
      <c r="G33" s="7"/>
      <c r="H33" s="7"/>
    </row>
    <row r="35" customFormat="false" ht="122.35" hidden="false" customHeight="false" outlineLevel="0" collapsed="false">
      <c r="B35" s="17" t="s">
        <v>28</v>
      </c>
    </row>
    <row r="36" customFormat="false" ht="27.75" hidden="false" customHeight="true" outlineLevel="0" collapsed="false">
      <c r="B36" s="7"/>
      <c r="C36" s="7"/>
      <c r="D36" s="7"/>
      <c r="E36" s="7"/>
      <c r="F36" s="7"/>
      <c r="G36" s="7"/>
      <c r="H36" s="7"/>
    </row>
  </sheetData>
  <mergeCells count="2">
    <mergeCell ref="B33:H33"/>
    <mergeCell ref="B36:H36"/>
  </mergeCells>
  <dataValidations count="2">
    <dataValidation allowBlank="true" errorStyle="stop" operator="between" showDropDown="false" showErrorMessage="false" showInputMessage="false" sqref="F13:F22" type="list">
      <formula1>"Yes,No"</formula1>
      <formula2>0</formula2>
    </dataValidation>
    <dataValidation allowBlank="true" errorStyle="stop" operator="between" showDropDown="false" showErrorMessage="false" showInputMessage="false" sqref="H13:H22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2026-05-14T08:12:24Z</dcterms:created>
  <dc:creator>openpyxl</dc:creator>
  <dc:description/>
  <dc:language>en-US</dc:language>
  <cp:lastModifiedBy/>
  <dcterms:modified xsi:type="dcterms:W3CDTF">2026-05-14T08:12:24Z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